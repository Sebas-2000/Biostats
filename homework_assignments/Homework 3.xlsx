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Desktop\Homework\Biostats\"/>
    </mc:Choice>
  </mc:AlternateContent>
  <xr:revisionPtr revIDLastSave="0" documentId="13_ncr:1_{C2C16A54-C626-4D6D-80B4-FEE33CCB0F49}" xr6:coauthVersionLast="47" xr6:coauthVersionMax="47" xr10:uidLastSave="{00000000-0000-0000-0000-000000000000}"/>
  <bookViews>
    <workbookView xWindow="-110" yWindow="-110" windowWidth="38620" windowHeight="21220" activeTab="1" xr2:uid="{BD39FF00-BC28-4EB0-9BC4-0FA6DDF3B458}"/>
  </bookViews>
  <sheets>
    <sheet name="Ch 5" sheetId="1" r:id="rId1"/>
    <sheet name="Ch 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2" l="1"/>
  <c r="P8" i="2"/>
  <c r="B62" i="2"/>
  <c r="H59" i="2"/>
  <c r="H58" i="2"/>
  <c r="G58" i="2"/>
  <c r="G59" i="2"/>
  <c r="F59" i="2"/>
  <c r="F58" i="2"/>
  <c r="E59" i="2"/>
  <c r="E58" i="2"/>
  <c r="D60" i="2"/>
  <c r="D59" i="2"/>
  <c r="D58" i="2"/>
  <c r="B54" i="2"/>
  <c r="B52" i="2"/>
  <c r="B26" i="2"/>
  <c r="H49" i="2"/>
  <c r="H48" i="2"/>
  <c r="G48" i="2"/>
  <c r="G49" i="2"/>
  <c r="F49" i="2"/>
  <c r="F48" i="2"/>
  <c r="E49" i="2"/>
  <c r="E48" i="2"/>
  <c r="H4" i="2"/>
  <c r="D50" i="2"/>
  <c r="D49" i="2"/>
  <c r="D48" i="2"/>
  <c r="C50" i="2"/>
  <c r="B50" i="2"/>
  <c r="U41" i="2"/>
  <c r="T35" i="2" a="1"/>
  <c r="T35" i="2" s="1"/>
  <c r="V35" i="2" s="1"/>
  <c r="B35" i="2" a="1"/>
  <c r="B35" i="2" s="1"/>
  <c r="B39" i="2" s="1"/>
  <c r="C39" i="2"/>
  <c r="E23" i="2"/>
  <c r="E22" i="2"/>
  <c r="C24" i="2"/>
  <c r="D24" i="2"/>
  <c r="B24" i="2"/>
  <c r="E10" i="2"/>
  <c r="I8" i="2" s="1"/>
  <c r="L8" i="2" s="1"/>
  <c r="E6" i="2"/>
  <c r="D14" i="2"/>
  <c r="C14" i="2"/>
  <c r="D10" i="2"/>
  <c r="C10" i="2"/>
  <c r="D6" i="2"/>
  <c r="C6" i="2"/>
  <c r="K4" i="2" s="1"/>
  <c r="C39" i="1"/>
  <c r="C38" i="1"/>
  <c r="B63" i="1"/>
  <c r="B37" i="1" a="1"/>
  <c r="B37" i="1" s="1"/>
  <c r="O2" i="1"/>
  <c r="N2" i="1" a="1"/>
  <c r="N2" i="1" s="1"/>
  <c r="H14" i="1"/>
  <c r="H11" i="1"/>
  <c r="C26" i="1" a="1"/>
  <c r="C26" i="1" s="1"/>
  <c r="C14" i="1" a="1"/>
  <c r="C14" i="1" s="1"/>
  <c r="D3" i="1"/>
  <c r="D4" i="1"/>
  <c r="D5" i="1"/>
  <c r="D6" i="1"/>
  <c r="D7" i="1"/>
  <c r="D8" i="1"/>
  <c r="D2" i="1"/>
  <c r="I23" i="2" l="1"/>
  <c r="I27" i="2" s="1"/>
  <c r="W35" i="2"/>
  <c r="I13" i="2"/>
  <c r="L13" i="2" s="1"/>
  <c r="I22" i="2"/>
  <c r="I26" i="2" s="1"/>
  <c r="D35" i="2"/>
  <c r="V40" i="2"/>
  <c r="W40" i="2" s="1"/>
  <c r="H9" i="2"/>
  <c r="K9" i="2" s="1"/>
  <c r="E14" i="2"/>
  <c r="I12" i="2" s="1"/>
  <c r="L12" i="2" s="1"/>
  <c r="E24" i="2"/>
  <c r="G22" i="2" s="1"/>
  <c r="G26" i="2" s="1"/>
  <c r="D36" i="2"/>
  <c r="E36" i="2" s="1"/>
  <c r="I9" i="2"/>
  <c r="L9" i="2" s="1"/>
  <c r="H22" i="2"/>
  <c r="H26" i="2" s="1"/>
  <c r="D37" i="2"/>
  <c r="E37" i="2" s="1"/>
  <c r="V36" i="2"/>
  <c r="W36" i="2" s="1"/>
  <c r="H12" i="2"/>
  <c r="K12" i="2" s="1"/>
  <c r="H5" i="2"/>
  <c r="K5" i="2" s="1"/>
  <c r="D38" i="2"/>
  <c r="E38" i="2" s="1"/>
  <c r="V37" i="2"/>
  <c r="W37" i="2" s="1"/>
  <c r="V38" i="2"/>
  <c r="W38" i="2" s="1"/>
  <c r="H23" i="2"/>
  <c r="H27" i="2" s="1"/>
  <c r="V39" i="2"/>
  <c r="W39" i="2" s="1"/>
  <c r="I5" i="2"/>
  <c r="L5" i="2" s="1"/>
  <c r="I4" i="2"/>
  <c r="L4" i="2" s="1"/>
  <c r="N4" i="2" s="1"/>
  <c r="P4" i="2" s="1"/>
  <c r="H8" i="2"/>
  <c r="K8" i="2" s="1"/>
  <c r="E35" i="2" l="1"/>
  <c r="C41" i="2" s="1"/>
  <c r="D39" i="2"/>
  <c r="B28" i="2"/>
  <c r="N8" i="2"/>
  <c r="V41" i="2"/>
  <c r="H13" i="2"/>
  <c r="K13" i="2" s="1"/>
  <c r="N12" i="2" s="1"/>
  <c r="P12" i="2" s="1"/>
  <c r="G23" i="2"/>
  <c r="G27" i="2" s="1"/>
  <c r="V4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<sst xmlns="http://schemas.openxmlformats.org/spreadsheetml/2006/main" count="98" uniqueCount="55">
  <si>
    <t>Children w/out Disease</t>
  </si>
  <si>
    <t>Children w/ Disease</t>
  </si>
  <si>
    <t>Probability</t>
  </si>
  <si>
    <t>Autism</t>
  </si>
  <si>
    <t>No Autism</t>
  </si>
  <si>
    <t>6 coins 3 heads</t>
  </si>
  <si>
    <t>5d6 exactly 3 twos</t>
  </si>
  <si>
    <t>Amount of Girls</t>
  </si>
  <si>
    <t>Probability of 2 or less girls</t>
  </si>
  <si>
    <t>Ammt of People Color Blind</t>
  </si>
  <si>
    <t>Ill</t>
  </si>
  <si>
    <t>Not Ill</t>
  </si>
  <si>
    <t>Total</t>
  </si>
  <si>
    <t>Attack Rate</t>
  </si>
  <si>
    <t>Potato Salad</t>
  </si>
  <si>
    <t>Cole Slaw</t>
  </si>
  <si>
    <t>Chicken Dressing</t>
  </si>
  <si>
    <t>Eat</t>
  </si>
  <si>
    <t>Didn't Eat</t>
  </si>
  <si>
    <t>Observed</t>
  </si>
  <si>
    <t>Expected</t>
  </si>
  <si>
    <t>((o-e)^2)/e</t>
  </si>
  <si>
    <t>Chi Squared</t>
  </si>
  <si>
    <t>Degrees of Freedom</t>
  </si>
  <si>
    <t>P-Val</t>
  </si>
  <si>
    <t>Results</t>
  </si>
  <si>
    <t>H Null rejected, correlation between getting sick and eating chicken dressing</t>
  </si>
  <si>
    <t>H Null rejected, correlation between getting sick and eating potato salad</t>
  </si>
  <si>
    <t>Failed to reject H Null, no association between cole slaw and getting sick</t>
  </si>
  <si>
    <t>Hypertension</t>
  </si>
  <si>
    <t>No Hypertension</t>
  </si>
  <si>
    <t>non smoker</t>
  </si>
  <si>
    <t>moderate smoker</t>
  </si>
  <si>
    <t>heavy smoker</t>
  </si>
  <si>
    <t>expected</t>
  </si>
  <si>
    <t>df</t>
  </si>
  <si>
    <t>P-Value</t>
  </si>
  <si>
    <t>Male</t>
  </si>
  <si>
    <t>Observed F</t>
  </si>
  <si>
    <t>Expected F</t>
  </si>
  <si>
    <t>p(x)</t>
  </si>
  <si>
    <t>Chi^2</t>
  </si>
  <si>
    <t>alpha</t>
  </si>
  <si>
    <t>result</t>
  </si>
  <si>
    <t>Reject H0</t>
  </si>
  <si>
    <t>Number of Sixes</t>
  </si>
  <si>
    <t>P(x)</t>
  </si>
  <si>
    <t>Pain Better</t>
  </si>
  <si>
    <t>NO Change/Worse Pain</t>
  </si>
  <si>
    <t>Papaveretum</t>
  </si>
  <si>
    <t>Saline</t>
  </si>
  <si>
    <t>lived</t>
  </si>
  <si>
    <t>died</t>
  </si>
  <si>
    <t>Streptomycin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</si>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</sst>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 Probability Distribution for</a:t>
            </a:r>
            <a:r>
              <a:rPr lang="en-US" baseline="0"/>
              <a:t> k=6 and p=.75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 5'!$D$1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 5'!$C$2:$C$8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cat>
          <c:val>
            <c:numRef>
              <c:f>'Ch 5'!$D$2:$D$8</c:f>
              <c:numCache>
                <c:formatCode>General</c:formatCode>
                <c:ptCount val="7"/>
                <c:pt idx="0">
                  <c:v>0.17797851562500003</c:v>
                </c:pt>
                <c:pt idx="1">
                  <c:v>0.35595703125</c:v>
                </c:pt>
                <c:pt idx="2">
                  <c:v>0.29663085937500006</c:v>
                </c:pt>
                <c:pt idx="3">
                  <c:v>0.13183593749999997</c:v>
                </c:pt>
                <c:pt idx="4">
                  <c:v>3.2958984375000007E-2</c:v>
                </c:pt>
                <c:pt idx="5">
                  <c:v>4.3945312499999957E-3</c:v>
                </c:pt>
                <c:pt idx="6">
                  <c:v>2.4414062500000016E-4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4-451F-A62C-AF624A133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091999"/>
        <c:axId val="1295084319"/>
      </c:barChart>
      <c:catAx>
        <c:axId val="129509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Children without</a:t>
                </a:r>
                <a:r>
                  <a:rPr lang="en-US" baseline="0"/>
                  <a:t> Disease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84319"/>
        <c:crosses val="autoZero"/>
        <c:auto val="1"/>
        <c:lblAlgn val="ctr"/>
        <c:lblOffset val="100"/>
        <c:noMultiLvlLbl val="0"/>
      </c:catAx>
      <c:valAx>
        <c:axId val="129508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9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Binomial Probability</a:t>
            </a:r>
            <a:r>
              <a:rPr lang="en-US" baseline="0"/>
              <a:t> Distribution for Ammount of Girls in a 6 Child Family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 5'!$N$1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'Ch 5'!$M$2:$M$8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'Ch 5'!$N$2:$N$8</c:f>
              <c:numCache>
                <c:formatCode>General</c:formatCode>
                <c:ptCount val="7"/>
                <c:pt idx="0">
                  <c:v>1.5625000000000007E-2</c:v>
                </c:pt>
                <c:pt idx="1">
                  <c:v>9.375E-2</c:v>
                </c:pt>
                <c:pt idx="2">
                  <c:v>0.23437500000000003</c:v>
                </c:pt>
                <c:pt idx="3">
                  <c:v>0.31249999999999994</c:v>
                </c:pt>
                <c:pt idx="4">
                  <c:v>0.23437500000000003</c:v>
                </c:pt>
                <c:pt idx="5">
                  <c:v>9.375E-2</c:v>
                </c:pt>
                <c:pt idx="6">
                  <c:v>1.5625000000000007E-2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9-4141-9464-EE95608CE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708879"/>
        <c:axId val="271709839"/>
      </c:barChart>
      <c:catAx>
        <c:axId val="27170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of Girls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09839"/>
        <c:crosses val="autoZero"/>
        <c:auto val="1"/>
        <c:lblAlgn val="ctr"/>
        <c:lblOffset val="100"/>
        <c:noMultiLvlLbl val="0"/>
      </c:catAx>
      <c:valAx>
        <c:axId val="27170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0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606425</xdr:colOff>
      <xdr:row>21</xdr:row>
      <xdr:rowOff>50800</xdr:rowOff>
    </xdr:from>
    <xdr:to>
      <xdr:col>19</xdr:col>
      <xdr:colOff>301625</xdr:colOff>
      <xdr:row>36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A0F41-0171-E194-CD50-CD0A1EE28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377824</xdr:colOff>
      <xdr:row>3</xdr:row>
      <xdr:rowOff>101600</xdr:rowOff>
    </xdr:from>
    <xdr:to>
      <xdr:col>26</xdr:col>
      <xdr:colOff>450849</xdr:colOff>
      <xdr:row>20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E40333-7B7E-C43B-EED4-7C2002A0E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5AE5-C5B8-4453-AB22-057190F681C2}">
  <dimension ref="A1:O72"/>
  <sheetViews>
    <sheetView workbookViewId="0">
      <selection activeCell="C38" sqref="C38"/>
    </sheetView>
  </sheetViews>
  <sheetFormatPr defaultRowHeight="14.5" x14ac:dyDescent="0.35"/>
  <cols>
    <col min="1" max="1" width="22.6328125" customWidth="1"/>
    <col min="2" max="3" width="18" customWidth="1"/>
    <col min="4" max="4" width="12.1796875" customWidth="1"/>
    <col min="13" max="13" width="13.08984375" customWidth="1"/>
    <col min="14" max="14" width="12.453125" customWidth="1"/>
  </cols>
  <sheetData>
    <row r="1" spans="1:15" x14ac:dyDescent="0.35">
      <c r="A1" t="s">
        <v>0</v>
      </c>
      <c r="B1" t="s">
        <v>1</v>
      </c>
      <c r="C1" t="s">
        <v>0</v>
      </c>
      <c r="D1" t="s">
        <v>2</v>
      </c>
      <c r="M1" s="1" t="s">
        <v>7</v>
      </c>
      <c r="N1" s="1" t="s">
        <v>2</v>
      </c>
      <c r="O1" s="1" t="s">
        <v>8</v>
      </c>
    </row>
    <row r="2" spans="1:15" x14ac:dyDescent="0.35">
      <c r="A2">
        <v>6</v>
      </c>
      <c r="B2">
        <v>0</v>
      </c>
      <c r="C2">
        <v>6</v>
      </c>
      <c r="D2">
        <f>_xlfn.BINOM.DIST(A2,6,0.75,FALSE)</f>
        <v>0.17797851562500003</v>
      </c>
      <c r="M2" s="1">
        <v>0</v>
      </c>
      <c r="N2" s="1" cm="1">
        <f t="array" ref="N2:N8">_xlfn.BINOM.DIST(M2:M8,6,0.5,FALSE)</f>
        <v>1.5625000000000007E-2</v>
      </c>
      <c r="O2" s="1">
        <f>SUM(N2:N4)</f>
        <v>0.34375</v>
      </c>
    </row>
    <row r="3" spans="1:15" x14ac:dyDescent="0.35">
      <c r="A3">
        <v>5</v>
      </c>
      <c r="B3">
        <v>1</v>
      </c>
      <c r="C3">
        <v>5</v>
      </c>
      <c r="D3">
        <f t="shared" ref="D3:D8" si="0">_xlfn.BINOM.DIST(A3,6,0.75,FALSE)</f>
        <v>0.35595703125</v>
      </c>
      <c r="M3" s="1">
        <v>1</v>
      </c>
      <c r="N3" s="1">
        <v>9.375E-2</v>
      </c>
    </row>
    <row r="4" spans="1:15" x14ac:dyDescent="0.35">
      <c r="A4">
        <v>4</v>
      </c>
      <c r="B4">
        <v>2</v>
      </c>
      <c r="C4">
        <v>4</v>
      </c>
      <c r="D4">
        <f t="shared" si="0"/>
        <v>0.29663085937500006</v>
      </c>
      <c r="M4" s="1">
        <v>2</v>
      </c>
      <c r="N4" s="1">
        <v>0.23437500000000003</v>
      </c>
    </row>
    <row r="5" spans="1:15" x14ac:dyDescent="0.35">
      <c r="A5">
        <v>3</v>
      </c>
      <c r="B5">
        <v>3</v>
      </c>
      <c r="C5">
        <v>3</v>
      </c>
      <c r="D5">
        <f t="shared" si="0"/>
        <v>0.13183593749999997</v>
      </c>
      <c r="M5" s="1">
        <v>3</v>
      </c>
      <c r="N5" s="1">
        <v>0.31249999999999994</v>
      </c>
    </row>
    <row r="6" spans="1:15" x14ac:dyDescent="0.35">
      <c r="A6">
        <v>2</v>
      </c>
      <c r="B6">
        <v>4</v>
      </c>
      <c r="C6">
        <v>2</v>
      </c>
      <c r="D6">
        <f t="shared" si="0"/>
        <v>3.2958984375000007E-2</v>
      </c>
      <c r="M6" s="1">
        <v>4</v>
      </c>
      <c r="N6" s="1">
        <v>0.23437500000000003</v>
      </c>
    </row>
    <row r="7" spans="1:15" x14ac:dyDescent="0.35">
      <c r="A7">
        <v>1</v>
      </c>
      <c r="B7">
        <v>5</v>
      </c>
      <c r="C7">
        <v>1</v>
      </c>
      <c r="D7">
        <f t="shared" si="0"/>
        <v>4.3945312499999957E-3</v>
      </c>
      <c r="M7" s="1">
        <v>5</v>
      </c>
      <c r="N7" s="1">
        <v>9.375E-2</v>
      </c>
    </row>
    <row r="8" spans="1:15" x14ac:dyDescent="0.35">
      <c r="A8">
        <v>0</v>
      </c>
      <c r="B8">
        <v>6</v>
      </c>
      <c r="C8">
        <v>0</v>
      </c>
      <c r="D8">
        <f t="shared" si="0"/>
        <v>2.4414062500000016E-4</v>
      </c>
      <c r="M8" s="1">
        <v>6</v>
      </c>
      <c r="N8" s="1">
        <v>1.5625000000000007E-2</v>
      </c>
    </row>
    <row r="10" spans="1:15" x14ac:dyDescent="0.35">
      <c r="H10" t="s">
        <v>5</v>
      </c>
    </row>
    <row r="11" spans="1:15" x14ac:dyDescent="0.35">
      <c r="H11">
        <f>_xlfn.BINOM.DIST(3,6,0.5,FALSE)</f>
        <v>0.31249999999999994</v>
      </c>
    </row>
    <row r="13" spans="1:15" x14ac:dyDescent="0.35">
      <c r="A13" s="1" t="s">
        <v>0</v>
      </c>
      <c r="B13" s="1" t="s">
        <v>1</v>
      </c>
      <c r="C13" s="1" t="s">
        <v>2</v>
      </c>
      <c r="H13" t="s">
        <v>6</v>
      </c>
    </row>
    <row r="14" spans="1:15" x14ac:dyDescent="0.35">
      <c r="A14" s="1">
        <v>6</v>
      </c>
      <c r="B14" s="1">
        <v>0</v>
      </c>
      <c r="C14" s="1" cm="1">
        <f t="array" ref="C14:C20">_xlfn.BINOM.DIST(A14:A20,6,0.75,FALSE)</f>
        <v>0.17797851562500003</v>
      </c>
      <c r="H14">
        <f>_xlfn.BINOM.DIST(3,5,1/6,FALSE)</f>
        <v>3.2150205761316865E-2</v>
      </c>
    </row>
    <row r="15" spans="1:15" x14ac:dyDescent="0.35">
      <c r="A15" s="1">
        <v>5</v>
      </c>
      <c r="B15" s="1">
        <v>1</v>
      </c>
      <c r="C15" s="1">
        <v>0.35595703125</v>
      </c>
    </row>
    <row r="16" spans="1:15" x14ac:dyDescent="0.35">
      <c r="A16" s="1">
        <v>4</v>
      </c>
      <c r="B16" s="1">
        <v>2</v>
      </c>
      <c r="C16" s="1">
        <v>0.29663085937500006</v>
      </c>
    </row>
    <row r="17" spans="1:3" x14ac:dyDescent="0.35">
      <c r="A17" s="1">
        <v>3</v>
      </c>
      <c r="B17" s="1">
        <v>3</v>
      </c>
      <c r="C17" s="1">
        <v>0.13183593749999997</v>
      </c>
    </row>
    <row r="18" spans="1:3" x14ac:dyDescent="0.35">
      <c r="A18" s="1">
        <v>2</v>
      </c>
      <c r="B18" s="1">
        <v>4</v>
      </c>
      <c r="C18" s="1">
        <v>3.2958984375000007E-2</v>
      </c>
    </row>
    <row r="19" spans="1:3" x14ac:dyDescent="0.35">
      <c r="A19" s="1">
        <v>1</v>
      </c>
      <c r="B19" s="1">
        <v>5</v>
      </c>
      <c r="C19" s="1">
        <v>4.3945312499999957E-3</v>
      </c>
    </row>
    <row r="20" spans="1:3" x14ac:dyDescent="0.35">
      <c r="A20" s="1">
        <v>0</v>
      </c>
      <c r="B20" s="1">
        <v>6</v>
      </c>
      <c r="C20" s="1">
        <v>2.4414062500000016E-4</v>
      </c>
    </row>
    <row r="25" spans="1:3" x14ac:dyDescent="0.35">
      <c r="A25" s="1" t="s">
        <v>3</v>
      </c>
      <c r="B25" s="1" t="s">
        <v>4</v>
      </c>
      <c r="C25" s="1" t="s">
        <v>2</v>
      </c>
    </row>
    <row r="26" spans="1:3" x14ac:dyDescent="0.35">
      <c r="A26" s="1">
        <v>0</v>
      </c>
      <c r="B26" s="1">
        <v>4</v>
      </c>
      <c r="C26" s="1" cm="1">
        <f t="array" ref="C26:C30">_xlfn.BINOM.DIST(A26:A30,4,1/68,FALSE)</f>
        <v>0.94246137386106488</v>
      </c>
    </row>
    <row r="27" spans="1:3" x14ac:dyDescent="0.35">
      <c r="A27" s="1">
        <v>1</v>
      </c>
      <c r="B27" s="1">
        <v>3</v>
      </c>
      <c r="C27" s="1">
        <v>5.6266350678272521E-2</v>
      </c>
    </row>
    <row r="28" spans="1:3" x14ac:dyDescent="0.35">
      <c r="A28" s="1">
        <v>2</v>
      </c>
      <c r="B28" s="1">
        <v>2</v>
      </c>
      <c r="C28" s="1">
        <v>1.2596944181702807E-3</v>
      </c>
    </row>
    <row r="29" spans="1:3" x14ac:dyDescent="0.35">
      <c r="A29" s="1">
        <v>3</v>
      </c>
      <c r="B29" s="1">
        <v>1</v>
      </c>
      <c r="C29" s="1">
        <v>1.2534272817614725E-5</v>
      </c>
    </row>
    <row r="30" spans="1:3" x14ac:dyDescent="0.35">
      <c r="A30" s="1">
        <v>4</v>
      </c>
      <c r="B30" s="1">
        <v>0</v>
      </c>
      <c r="C30" s="1">
        <v>4.6769674692592235E-8</v>
      </c>
    </row>
    <row r="36" spans="1:3" x14ac:dyDescent="0.35">
      <c r="A36" t="s">
        <v>9</v>
      </c>
      <c r="B36" t="s">
        <v>2</v>
      </c>
    </row>
    <row r="37" spans="1:3" x14ac:dyDescent="0.35">
      <c r="A37">
        <v>0</v>
      </c>
      <c r="B37" cm="1">
        <f t="array" ref="B37:B62">_xlfn.BINOM.DIST(A37:A62,25,0.1,FALSE)</f>
        <v>7.1789798769185259E-2</v>
      </c>
    </row>
    <row r="38" spans="1:3" x14ac:dyDescent="0.35">
      <c r="A38">
        <v>1</v>
      </c>
      <c r="B38">
        <v>0.19941610769218127</v>
      </c>
      <c r="C38">
        <f>SUM(B38:B62)</f>
        <v>0.92821020123081455</v>
      </c>
    </row>
    <row r="39" spans="1:3" x14ac:dyDescent="0.35">
      <c r="A39">
        <v>2</v>
      </c>
      <c r="B39">
        <v>0.26588814358957502</v>
      </c>
      <c r="C39">
        <f>SUM(B37,C38)</f>
        <v>0.99999999999999978</v>
      </c>
    </row>
    <row r="40" spans="1:3" x14ac:dyDescent="0.35">
      <c r="A40">
        <v>3</v>
      </c>
      <c r="B40">
        <v>0.22649730750223052</v>
      </c>
    </row>
    <row r="41" spans="1:3" x14ac:dyDescent="0.35">
      <c r="A41">
        <v>4</v>
      </c>
      <c r="B41">
        <v>0.13841502125136307</v>
      </c>
    </row>
    <row r="42" spans="1:3" x14ac:dyDescent="0.35">
      <c r="A42">
        <v>5</v>
      </c>
      <c r="B42">
        <v>6.4593676583969473E-2</v>
      </c>
    </row>
    <row r="43" spans="1:3" x14ac:dyDescent="0.35">
      <c r="A43">
        <v>6</v>
      </c>
      <c r="B43">
        <v>2.3923583919988688E-2</v>
      </c>
    </row>
    <row r="44" spans="1:3" x14ac:dyDescent="0.35">
      <c r="A44">
        <v>7</v>
      </c>
      <c r="B44">
        <v>7.2150491187267553E-3</v>
      </c>
    </row>
    <row r="45" spans="1:3" x14ac:dyDescent="0.35">
      <c r="A45">
        <v>8</v>
      </c>
      <c r="B45">
        <v>1.8037622796816864E-3</v>
      </c>
    </row>
    <row r="46" spans="1:3" x14ac:dyDescent="0.35">
      <c r="A46">
        <v>9</v>
      </c>
      <c r="B46">
        <v>3.7856739203195899E-4</v>
      </c>
    </row>
    <row r="47" spans="1:3" x14ac:dyDescent="0.35">
      <c r="A47">
        <v>10</v>
      </c>
      <c r="B47">
        <v>6.7300869694570412E-5</v>
      </c>
    </row>
    <row r="48" spans="1:3" x14ac:dyDescent="0.35">
      <c r="A48">
        <v>11</v>
      </c>
      <c r="B48">
        <v>1.0197101468874307E-5</v>
      </c>
    </row>
    <row r="49" spans="1:2" x14ac:dyDescent="0.35">
      <c r="A49">
        <v>12</v>
      </c>
      <c r="B49">
        <v>1.3218464867059347E-6</v>
      </c>
    </row>
    <row r="50" spans="1:2" x14ac:dyDescent="0.35">
      <c r="A50">
        <v>13</v>
      </c>
      <c r="B50">
        <v>1.4687183185621459E-7</v>
      </c>
    </row>
    <row r="51" spans="1:2" x14ac:dyDescent="0.35">
      <c r="A51">
        <v>14</v>
      </c>
      <c r="B51">
        <v>1.3987793510115596E-8</v>
      </c>
    </row>
    <row r="52" spans="1:2" x14ac:dyDescent="0.35">
      <c r="A52">
        <v>15</v>
      </c>
      <c r="B52">
        <v>1.1397461378612775E-9</v>
      </c>
    </row>
    <row r="53" spans="1:2" x14ac:dyDescent="0.35">
      <c r="A53">
        <v>16</v>
      </c>
      <c r="B53">
        <v>7.9149037351477636E-11</v>
      </c>
    </row>
    <row r="54" spans="1:2" x14ac:dyDescent="0.35">
      <c r="A54">
        <v>17</v>
      </c>
      <c r="B54">
        <v>4.655825726557493E-12</v>
      </c>
    </row>
    <row r="55" spans="1:2" x14ac:dyDescent="0.35">
      <c r="A55">
        <v>18</v>
      </c>
      <c r="B55">
        <v>2.2991731982999997E-13</v>
      </c>
    </row>
    <row r="56" spans="1:2" x14ac:dyDescent="0.35">
      <c r="A56">
        <v>19</v>
      </c>
      <c r="B56">
        <v>9.4118201099999905E-15</v>
      </c>
    </row>
    <row r="57" spans="1:2" x14ac:dyDescent="0.35">
      <c r="A57">
        <v>20</v>
      </c>
      <c r="B57">
        <v>3.1372733700000133E-16</v>
      </c>
    </row>
    <row r="58" spans="1:2" x14ac:dyDescent="0.35">
      <c r="A58">
        <v>21</v>
      </c>
      <c r="B58">
        <v>8.2996649999999869E-18</v>
      </c>
    </row>
    <row r="59" spans="1:2" x14ac:dyDescent="0.35">
      <c r="A59">
        <v>22</v>
      </c>
      <c r="B59">
        <v>1.6766999999999915E-19</v>
      </c>
    </row>
    <row r="60" spans="1:2" x14ac:dyDescent="0.35">
      <c r="A60">
        <v>23</v>
      </c>
      <c r="B60">
        <v>2.4300000000000116E-21</v>
      </c>
    </row>
    <row r="61" spans="1:2" x14ac:dyDescent="0.35">
      <c r="A61">
        <v>24</v>
      </c>
      <c r="B61">
        <v>2.2500000000000113E-23</v>
      </c>
    </row>
    <row r="62" spans="1:2" x14ac:dyDescent="0.35">
      <c r="A62">
        <v>25</v>
      </c>
      <c r="B62">
        <v>1.0000000000000043E-25</v>
      </c>
    </row>
    <row r="63" spans="1:2" x14ac:dyDescent="0.35">
      <c r="B63">
        <f>SUM(_xlfn.ANCHORARRAY(B37))</f>
        <v>0.99999999999999989</v>
      </c>
    </row>
    <row r="72" spans="1:1" x14ac:dyDescent="0.35">
      <c r="A72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A620-3FBC-4AEB-A556-EB178DF7D994}">
  <dimension ref="A1:W64"/>
  <sheetViews>
    <sheetView tabSelected="1" topLeftCell="A33" workbookViewId="0">
      <selection activeCell="A62" sqref="A62:B64"/>
    </sheetView>
  </sheetViews>
  <sheetFormatPr defaultRowHeight="14.5" x14ac:dyDescent="0.35"/>
  <cols>
    <col min="1" max="1" width="20.54296875" customWidth="1"/>
    <col min="2" max="2" width="15.90625" customWidth="1"/>
    <col min="3" max="3" width="12.26953125" customWidth="1"/>
    <col min="4" max="4" width="12.6328125" customWidth="1"/>
    <col min="5" max="5" width="10.90625" customWidth="1"/>
    <col min="6" max="6" width="10" customWidth="1"/>
    <col min="10" max="10" width="3.54296875" customWidth="1"/>
    <col min="11" max="11" width="10.81640625" customWidth="1"/>
    <col min="13" max="13" width="3.81640625" customWidth="1"/>
    <col min="14" max="14" width="7" customWidth="1"/>
    <col min="15" max="15" width="6.90625" customWidth="1"/>
    <col min="18" max="18" width="8.7265625" customWidth="1"/>
    <col min="19" max="19" width="14.6328125" customWidth="1"/>
    <col min="20" max="20" width="9" customWidth="1"/>
    <col min="21" max="21" width="11" customWidth="1"/>
    <col min="22" max="22" width="10.7265625" customWidth="1"/>
  </cols>
  <sheetData>
    <row r="1" spans="1:18" x14ac:dyDescent="0.35">
      <c r="A1" s="15">
        <v>7.8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C2" s="15" t="s">
        <v>19</v>
      </c>
      <c r="D2" s="15"/>
      <c r="E2" s="15"/>
      <c r="F2" s="15"/>
      <c r="H2" s="15" t="s">
        <v>20</v>
      </c>
      <c r="I2" s="15"/>
      <c r="K2" s="15" t="s">
        <v>21</v>
      </c>
      <c r="L2" s="15"/>
      <c r="N2" t="s">
        <v>22</v>
      </c>
      <c r="O2" t="s">
        <v>23</v>
      </c>
      <c r="P2" s="2" t="s">
        <v>24</v>
      </c>
      <c r="Q2" s="15" t="s">
        <v>25</v>
      </c>
      <c r="R2" s="15"/>
    </row>
    <row r="3" spans="1:18" x14ac:dyDescent="0.35">
      <c r="C3" s="3" t="s">
        <v>10</v>
      </c>
      <c r="D3" s="3" t="s">
        <v>11</v>
      </c>
      <c r="E3" s="14" t="s">
        <v>12</v>
      </c>
      <c r="F3" s="3" t="s">
        <v>13</v>
      </c>
      <c r="H3" s="3" t="s">
        <v>10</v>
      </c>
      <c r="I3" s="3" t="s">
        <v>11</v>
      </c>
      <c r="K3" s="3" t="s">
        <v>10</v>
      </c>
      <c r="L3" s="3" t="s">
        <v>11</v>
      </c>
    </row>
    <row r="4" spans="1:18" x14ac:dyDescent="0.35">
      <c r="A4" s="16" t="s">
        <v>16</v>
      </c>
      <c r="B4" s="5" t="s">
        <v>17</v>
      </c>
      <c r="C4" s="1">
        <v>37</v>
      </c>
      <c r="D4" s="1">
        <v>5</v>
      </c>
      <c r="E4" s="1">
        <v>42</v>
      </c>
      <c r="F4" s="1">
        <v>88</v>
      </c>
      <c r="H4">
        <f>(C6*E4)/E6</f>
        <v>31.5</v>
      </c>
      <c r="I4">
        <f>(E4*D6)/E6</f>
        <v>10.5</v>
      </c>
      <c r="K4">
        <f>((C4-H4)^2)/H4</f>
        <v>0.96031746031746035</v>
      </c>
      <c r="L4">
        <f>((D4-I4)^2)/I4</f>
        <v>2.8809523809523809</v>
      </c>
      <c r="N4">
        <f>SUM(K4:L5)</f>
        <v>11.174603174603174</v>
      </c>
      <c r="O4" s="2">
        <v>1</v>
      </c>
      <c r="P4">
        <f>_xlfn.CHISQ.DIST.RT(N4,O4)</f>
        <v>8.2924629806500666E-4</v>
      </c>
      <c r="Q4" s="15" t="s">
        <v>26</v>
      </c>
      <c r="R4" s="15"/>
    </row>
    <row r="5" spans="1:18" ht="15" thickBot="1" x14ac:dyDescent="0.4">
      <c r="A5" s="16"/>
      <c r="B5" s="6" t="s">
        <v>18</v>
      </c>
      <c r="C5" s="13">
        <v>11</v>
      </c>
      <c r="D5" s="13">
        <v>11</v>
      </c>
      <c r="E5" s="13">
        <v>22</v>
      </c>
      <c r="F5" s="1">
        <v>50</v>
      </c>
      <c r="H5">
        <f>(C6*E5)/E6</f>
        <v>16.5</v>
      </c>
      <c r="I5">
        <f>(E5*D6)/E6</f>
        <v>5.5</v>
      </c>
      <c r="K5">
        <f t="shared" ref="K5:K13" si="0">((C5-H5)^2)/H5</f>
        <v>1.8333333333333333</v>
      </c>
      <c r="L5">
        <f>((D5-I5)^2)/I5</f>
        <v>5.5</v>
      </c>
      <c r="O5" s="2"/>
      <c r="Q5" s="15"/>
      <c r="R5" s="15"/>
    </row>
    <row r="6" spans="1:18" x14ac:dyDescent="0.35">
      <c r="A6" s="4"/>
      <c r="B6" s="8" t="s">
        <v>12</v>
      </c>
      <c r="C6" s="12">
        <f>SUM(C4:C5)</f>
        <v>48</v>
      </c>
      <c r="D6" s="12">
        <f t="shared" ref="D6" si="1">SUM(D4:D5)</f>
        <v>16</v>
      </c>
      <c r="E6" s="12">
        <f>SUM(E4:E5)</f>
        <v>64</v>
      </c>
      <c r="F6" s="1"/>
      <c r="O6" s="2"/>
    </row>
    <row r="7" spans="1:18" x14ac:dyDescent="0.35">
      <c r="A7" s="4"/>
      <c r="O7" s="2"/>
    </row>
    <row r="8" spans="1:18" x14ac:dyDescent="0.35">
      <c r="A8" s="16" t="s">
        <v>14</v>
      </c>
      <c r="B8" s="7" t="s">
        <v>17</v>
      </c>
      <c r="C8" s="1">
        <v>37</v>
      </c>
      <c r="D8" s="1">
        <v>5</v>
      </c>
      <c r="E8" s="1">
        <v>42</v>
      </c>
      <c r="F8" s="1">
        <v>88</v>
      </c>
      <c r="H8">
        <f>(E8*C10)/E10</f>
        <v>32.516129032258064</v>
      </c>
      <c r="I8">
        <f>(E8*D10)/E10</f>
        <v>9.4838709677419359</v>
      </c>
      <c r="K8">
        <f>((C8-H8)^2)/H8</f>
        <v>0.61831157194060438</v>
      </c>
      <c r="L8">
        <f t="shared" ref="L8:L13" si="2">((D8-I8)^2)/I8</f>
        <v>2.1199253895106436</v>
      </c>
      <c r="N8">
        <f>SUM(K8:L9)</f>
        <v>8.4885345804988663</v>
      </c>
      <c r="O8" s="2">
        <v>1</v>
      </c>
      <c r="P8">
        <f>_xlfn.CHISQ.DIST.RT(N8,O8)</f>
        <v>3.5739155708112312E-3</v>
      </c>
      <c r="Q8" s="15" t="s">
        <v>27</v>
      </c>
      <c r="R8" s="15"/>
    </row>
    <row r="9" spans="1:18" ht="15" thickBot="1" x14ac:dyDescent="0.4">
      <c r="A9" s="16"/>
      <c r="B9" s="6" t="s">
        <v>18</v>
      </c>
      <c r="C9" s="13">
        <v>11</v>
      </c>
      <c r="D9" s="13">
        <v>9</v>
      </c>
      <c r="E9" s="13">
        <v>20</v>
      </c>
      <c r="F9" s="1">
        <v>55</v>
      </c>
      <c r="H9">
        <f>(E9*C10)/E10</f>
        <v>15.483870967741936</v>
      </c>
      <c r="I9">
        <f>(E9*D10)/E10</f>
        <v>4.5161290322580649</v>
      </c>
      <c r="K9">
        <f>((C9-H9)^2)/H9</f>
        <v>1.2984543010752692</v>
      </c>
      <c r="L9">
        <f t="shared" si="2"/>
        <v>4.4518433179723491</v>
      </c>
      <c r="O9" s="2"/>
      <c r="Q9" s="15"/>
      <c r="R9" s="15"/>
    </row>
    <row r="10" spans="1:18" x14ac:dyDescent="0.35">
      <c r="A10" s="4"/>
      <c r="B10" s="9" t="s">
        <v>12</v>
      </c>
      <c r="C10" s="12">
        <f>SUM(C8:C9)</f>
        <v>48</v>
      </c>
      <c r="D10" s="12">
        <f t="shared" ref="D10" si="3">SUM(D8:D9)</f>
        <v>14</v>
      </c>
      <c r="E10" s="12">
        <f>SUM(C10:D10)</f>
        <v>62</v>
      </c>
      <c r="F10" s="1"/>
      <c r="O10" s="2"/>
    </row>
    <row r="11" spans="1:18" x14ac:dyDescent="0.35">
      <c r="A11" s="4"/>
      <c r="O11" s="2"/>
    </row>
    <row r="12" spans="1:18" x14ac:dyDescent="0.35">
      <c r="A12" s="16" t="s">
        <v>15</v>
      </c>
      <c r="B12" s="7" t="s">
        <v>17</v>
      </c>
      <c r="C12" s="1">
        <v>27</v>
      </c>
      <c r="D12" s="1">
        <v>7</v>
      </c>
      <c r="E12" s="1">
        <v>34</v>
      </c>
      <c r="F12" s="1">
        <v>79</v>
      </c>
      <c r="H12">
        <f>(E12*C14)/E14</f>
        <v>24.933333333333334</v>
      </c>
      <c r="I12">
        <f>(E12*D14)/E14</f>
        <v>9.0666666666666664</v>
      </c>
      <c r="K12">
        <f t="shared" si="0"/>
        <v>0.17130124777183595</v>
      </c>
      <c r="L12">
        <f t="shared" si="2"/>
        <v>0.4710784313725489</v>
      </c>
      <c r="N12">
        <f>SUM(K12:L13)</f>
        <v>1.4824146441793498</v>
      </c>
      <c r="O12" s="2">
        <v>1</v>
      </c>
      <c r="P12">
        <f t="shared" ref="P8:P12" si="4">_xlfn.CHISQ.DIST.RT(N12,O12)</f>
        <v>0.22339711065583764</v>
      </c>
      <c r="Q12" s="15" t="s">
        <v>28</v>
      </c>
      <c r="R12" s="15"/>
    </row>
    <row r="13" spans="1:18" ht="15" thickBot="1" x14ac:dyDescent="0.4">
      <c r="A13" s="16"/>
      <c r="B13" s="6" t="s">
        <v>18</v>
      </c>
      <c r="C13" s="13">
        <v>17</v>
      </c>
      <c r="D13" s="13">
        <v>9</v>
      </c>
      <c r="E13" s="13">
        <v>26</v>
      </c>
      <c r="F13" s="1">
        <v>65</v>
      </c>
      <c r="H13">
        <f>(E13*C14)/E14</f>
        <v>19.066666666666666</v>
      </c>
      <c r="I13">
        <f>(E13*D14)/E14</f>
        <v>6.9333333333333336</v>
      </c>
      <c r="K13">
        <f t="shared" si="0"/>
        <v>0.22400932400932394</v>
      </c>
      <c r="L13">
        <f t="shared" si="2"/>
        <v>0.61602564102564084</v>
      </c>
      <c r="Q13" s="15"/>
      <c r="R13" s="15"/>
    </row>
    <row r="14" spans="1:18" x14ac:dyDescent="0.35">
      <c r="B14" s="11" t="s">
        <v>12</v>
      </c>
      <c r="C14" s="12">
        <f>SUM(C12:C13)</f>
        <v>44</v>
      </c>
      <c r="D14" s="12">
        <f>SUM(D12:D13)</f>
        <v>16</v>
      </c>
      <c r="E14" s="12">
        <f>SUM(C14:D14)</f>
        <v>60</v>
      </c>
      <c r="F14" s="1"/>
    </row>
    <row r="20" spans="1:9" x14ac:dyDescent="0.35">
      <c r="A20" s="15">
        <v>7.9</v>
      </c>
      <c r="B20" s="15"/>
      <c r="C20" s="15"/>
      <c r="D20" s="15"/>
      <c r="E20" s="15"/>
      <c r="F20" s="15"/>
      <c r="G20" s="15"/>
      <c r="H20" s="15"/>
      <c r="I20" s="15"/>
    </row>
    <row r="21" spans="1:9" x14ac:dyDescent="0.35">
      <c r="B21" t="s">
        <v>31</v>
      </c>
      <c r="C21" t="s">
        <v>32</v>
      </c>
      <c r="D21" t="s">
        <v>33</v>
      </c>
      <c r="G21" s="15" t="s">
        <v>34</v>
      </c>
      <c r="H21" s="15"/>
      <c r="I21" s="15"/>
    </row>
    <row r="22" spans="1:9" x14ac:dyDescent="0.35">
      <c r="A22" t="s">
        <v>29</v>
      </c>
      <c r="B22" s="1">
        <v>21</v>
      </c>
      <c r="C22" s="1">
        <v>36</v>
      </c>
      <c r="D22" s="1">
        <v>30</v>
      </c>
      <c r="E22" s="10">
        <f>SUM(B22:D22)</f>
        <v>87</v>
      </c>
      <c r="G22">
        <f>(E22*B24)/E24</f>
        <v>26.643750000000001</v>
      </c>
      <c r="H22">
        <f>(E22*C24)/E24</f>
        <v>33.712499999999999</v>
      </c>
      <c r="I22">
        <f>(E22*D24)/E24</f>
        <v>26.643750000000001</v>
      </c>
    </row>
    <row r="23" spans="1:9" x14ac:dyDescent="0.35">
      <c r="A23" t="s">
        <v>30</v>
      </c>
      <c r="B23" s="1">
        <v>28</v>
      </c>
      <c r="C23" s="1">
        <v>26</v>
      </c>
      <c r="D23" s="1">
        <v>19</v>
      </c>
      <c r="E23" s="10">
        <f>SUM(B23:D23)</f>
        <v>73</v>
      </c>
      <c r="G23">
        <f>(E23*B24)/E24</f>
        <v>22.356249999999999</v>
      </c>
      <c r="H23">
        <f>(E23*C24)/E24</f>
        <v>28.287500000000001</v>
      </c>
      <c r="I23">
        <f>(E23*D24)/E24</f>
        <v>22.356249999999999</v>
      </c>
    </row>
    <row r="24" spans="1:9" x14ac:dyDescent="0.35">
      <c r="B24" s="10">
        <f>SUM(B22:B23)</f>
        <v>49</v>
      </c>
      <c r="C24" s="10">
        <f t="shared" ref="C24:D24" si="5">SUM(C22:C23)</f>
        <v>62</v>
      </c>
      <c r="D24" s="10">
        <f t="shared" si="5"/>
        <v>49</v>
      </c>
      <c r="E24" s="10">
        <f>SUM(E22:E23)</f>
        <v>160</v>
      </c>
    </row>
    <row r="25" spans="1:9" x14ac:dyDescent="0.35">
      <c r="G25" s="15" t="s">
        <v>21</v>
      </c>
      <c r="H25" s="15"/>
      <c r="I25" s="15"/>
    </row>
    <row r="26" spans="1:9" x14ac:dyDescent="0.35">
      <c r="A26" t="s">
        <v>22</v>
      </c>
      <c r="B26">
        <f>SUM(G26:I27)</f>
        <v>3.887051216787019</v>
      </c>
      <c r="G26">
        <f t="shared" ref="G26:I27" si="6">((B22-G22)^2)/G22</f>
        <v>1.1954741379310347</v>
      </c>
      <c r="H26">
        <f t="shared" si="6"/>
        <v>0.15521412680756416</v>
      </c>
      <c r="I26">
        <f t="shared" si="6"/>
        <v>0.42277885292047834</v>
      </c>
    </row>
    <row r="27" spans="1:9" x14ac:dyDescent="0.35">
      <c r="A27" t="s">
        <v>35</v>
      </c>
      <c r="B27">
        <v>2</v>
      </c>
      <c r="G27">
        <f t="shared" si="6"/>
        <v>1.424743150684932</v>
      </c>
      <c r="H27">
        <f t="shared" si="6"/>
        <v>0.18498121961997371</v>
      </c>
      <c r="I27">
        <f t="shared" si="6"/>
        <v>0.50385972882303587</v>
      </c>
    </row>
    <row r="28" spans="1:9" x14ac:dyDescent="0.35">
      <c r="A28" t="s">
        <v>36</v>
      </c>
      <c r="B28">
        <f>_xlfn.CHISQ.DIST.RT(B26,B27)</f>
        <v>0.14319819799142838</v>
      </c>
    </row>
    <row r="33" spans="1:23" x14ac:dyDescent="0.35">
      <c r="A33" s="15">
        <v>7.11</v>
      </c>
      <c r="B33" s="15"/>
      <c r="C33" s="15"/>
      <c r="D33" s="15"/>
      <c r="E33" s="15"/>
      <c r="S33" s="15">
        <v>7.16</v>
      </c>
      <c r="T33" s="15"/>
      <c r="U33" s="15"/>
      <c r="V33" s="15"/>
      <c r="W33" s="15"/>
    </row>
    <row r="34" spans="1:23" x14ac:dyDescent="0.35">
      <c r="A34" t="s">
        <v>37</v>
      </c>
      <c r="B34" t="s">
        <v>40</v>
      </c>
      <c r="C34" t="s">
        <v>38</v>
      </c>
      <c r="D34" t="s">
        <v>39</v>
      </c>
      <c r="E34" t="s">
        <v>21</v>
      </c>
      <c r="S34" t="s">
        <v>45</v>
      </c>
      <c r="T34" t="s">
        <v>46</v>
      </c>
      <c r="U34" t="s">
        <v>38</v>
      </c>
      <c r="V34" t="s">
        <v>39</v>
      </c>
      <c r="W34" t="s">
        <v>21</v>
      </c>
    </row>
    <row r="35" spans="1:23" x14ac:dyDescent="0.35">
      <c r="A35">
        <v>3</v>
      </c>
      <c r="B35" cm="1">
        <f t="array" ref="B35:B38">_xlfn.BINOM.DIST(A35:A38,3,0.5,FALSE)</f>
        <v>0.12500000000000003</v>
      </c>
      <c r="C35">
        <v>7</v>
      </c>
      <c r="D35">
        <f>(B35*C39)</f>
        <v>5.8750000000000009</v>
      </c>
      <c r="E35">
        <f>((C35-D35)^2)/D35</f>
        <v>0.21542553191489325</v>
      </c>
      <c r="S35">
        <v>5</v>
      </c>
      <c r="T35" cm="1">
        <f t="array" ref="T35:T40">_xlfn.BINOM.DIST(S35:S40,5,1/6,FALSE)</f>
        <v>1.2860082304526758E-4</v>
      </c>
      <c r="U35">
        <v>6</v>
      </c>
      <c r="V35">
        <f>(T35*U41)</f>
        <v>1.543209876543211E-2</v>
      </c>
      <c r="W35">
        <f>((U35-V35)^2)/V35</f>
        <v>2320.8154320987637</v>
      </c>
    </row>
    <row r="36" spans="1:23" x14ac:dyDescent="0.35">
      <c r="A36">
        <v>2</v>
      </c>
      <c r="B36">
        <v>0.375</v>
      </c>
      <c r="C36">
        <v>35</v>
      </c>
      <c r="D36">
        <f>(B36*C39)</f>
        <v>17.625</v>
      </c>
      <c r="E36">
        <f t="shared" ref="E36:E38" si="7">((C36-D36)^2)/D36</f>
        <v>17.12854609929078</v>
      </c>
      <c r="S36">
        <v>4</v>
      </c>
      <c r="T36">
        <v>3.2150205761316848E-3</v>
      </c>
      <c r="U36">
        <v>8</v>
      </c>
      <c r="V36">
        <f>(T36*U41)</f>
        <v>0.38580246913580218</v>
      </c>
      <c r="W36">
        <f>((U36-V36)^2)/V36</f>
        <v>150.27380246913592</v>
      </c>
    </row>
    <row r="37" spans="1:23" x14ac:dyDescent="0.35">
      <c r="A37">
        <v>1</v>
      </c>
      <c r="B37">
        <v>0.375</v>
      </c>
      <c r="C37">
        <v>3</v>
      </c>
      <c r="D37">
        <f>(B37*C39)</f>
        <v>17.625</v>
      </c>
      <c r="E37">
        <f t="shared" si="7"/>
        <v>12.13563829787234</v>
      </c>
      <c r="S37">
        <v>3</v>
      </c>
      <c r="T37">
        <v>3.2150205761316865E-2</v>
      </c>
      <c r="U37">
        <v>12</v>
      </c>
      <c r="V37">
        <f>(T37*U41)</f>
        <v>3.8580246913580236</v>
      </c>
      <c r="W37">
        <f t="shared" ref="W37" si="8">((U37-V37)^2)/V37</f>
        <v>17.182824691358032</v>
      </c>
    </row>
    <row r="38" spans="1:23" x14ac:dyDescent="0.35">
      <c r="A38">
        <v>0</v>
      </c>
      <c r="B38">
        <v>0.12500000000000003</v>
      </c>
      <c r="C38">
        <v>2</v>
      </c>
      <c r="D38">
        <f>(B38*C39)</f>
        <v>5.8750000000000009</v>
      </c>
      <c r="E38">
        <f t="shared" si="7"/>
        <v>2.5558510638297882</v>
      </c>
      <c r="S38">
        <v>2</v>
      </c>
      <c r="T38">
        <v>0.16075102880658432</v>
      </c>
      <c r="U38">
        <v>20</v>
      </c>
      <c r="V38">
        <f>(T38*U41)</f>
        <v>19.29012345679012</v>
      </c>
      <c r="W38">
        <f>((U38-V38)^2)/V38</f>
        <v>2.6123456790123727E-2</v>
      </c>
    </row>
    <row r="39" spans="1:23" x14ac:dyDescent="0.35">
      <c r="A39" t="s">
        <v>12</v>
      </c>
      <c r="B39">
        <f>SUM(_xlfn.ANCHORARRAY(B35))</f>
        <v>1</v>
      </c>
      <c r="C39">
        <f>SUM(C35:C38)</f>
        <v>47</v>
      </c>
      <c r="D39">
        <f>SUM(D35:D38)</f>
        <v>47</v>
      </c>
      <c r="S39">
        <v>1</v>
      </c>
      <c r="T39">
        <v>0.4018775720164609</v>
      </c>
      <c r="U39">
        <v>39</v>
      </c>
      <c r="V39">
        <f>(T39*U41)</f>
        <v>48.22530864197531</v>
      </c>
      <c r="W39">
        <f>((U39-V39)^2)/V39</f>
        <v>1.7647646419753091</v>
      </c>
    </row>
    <row r="40" spans="1:23" x14ac:dyDescent="0.35">
      <c r="S40">
        <v>0</v>
      </c>
      <c r="T40">
        <v>0.4018775720164609</v>
      </c>
      <c r="U40">
        <v>35</v>
      </c>
      <c r="V40">
        <f>(T40*U41)</f>
        <v>48.22530864197531</v>
      </c>
      <c r="W40">
        <f>((U40-V40)^2)/V40</f>
        <v>3.6269086419753096</v>
      </c>
    </row>
    <row r="41" spans="1:23" x14ac:dyDescent="0.35">
      <c r="B41" t="s">
        <v>41</v>
      </c>
      <c r="C41">
        <f>SUM(E35:E38)</f>
        <v>32.035460992907801</v>
      </c>
      <c r="U41">
        <f>SUM(U35:U40)</f>
        <v>120</v>
      </c>
      <c r="V41">
        <f>SUM(V35:V40)</f>
        <v>120</v>
      </c>
    </row>
    <row r="42" spans="1:23" x14ac:dyDescent="0.35">
      <c r="B42" t="s">
        <v>42</v>
      </c>
      <c r="C42">
        <v>0.05</v>
      </c>
    </row>
    <row r="43" spans="1:23" x14ac:dyDescent="0.35">
      <c r="B43" t="s">
        <v>43</v>
      </c>
      <c r="C43" t="s">
        <v>44</v>
      </c>
      <c r="U43" t="s">
        <v>41</v>
      </c>
      <c r="V43">
        <f>SUM(W35:W40)</f>
        <v>2493.6898559999981</v>
      </c>
    </row>
    <row r="44" spans="1:23" x14ac:dyDescent="0.35">
      <c r="U44" t="s">
        <v>42</v>
      </c>
      <c r="V44">
        <v>0.05</v>
      </c>
    </row>
    <row r="45" spans="1:23" x14ac:dyDescent="0.35">
      <c r="U45" t="s">
        <v>43</v>
      </c>
      <c r="V45" t="s">
        <v>44</v>
      </c>
    </row>
    <row r="46" spans="1:23" x14ac:dyDescent="0.35">
      <c r="A46" s="15">
        <v>7.21</v>
      </c>
      <c r="B46" s="15"/>
      <c r="C46" s="15"/>
      <c r="D46" s="15"/>
      <c r="E46" s="15"/>
      <c r="F46" s="15"/>
      <c r="G46" s="15"/>
      <c r="H46" s="15"/>
    </row>
    <row r="47" spans="1:23" x14ac:dyDescent="0.35">
      <c r="B47" t="s">
        <v>49</v>
      </c>
      <c r="C47" t="s">
        <v>50</v>
      </c>
      <c r="D47" s="11" t="s">
        <v>12</v>
      </c>
      <c r="E47" s="15" t="s">
        <v>20</v>
      </c>
      <c r="F47" s="15"/>
      <c r="G47" s="15" t="s">
        <v>21</v>
      </c>
      <c r="H47" s="15"/>
    </row>
    <row r="48" spans="1:23" x14ac:dyDescent="0.35">
      <c r="A48" t="s">
        <v>47</v>
      </c>
      <c r="B48" s="1">
        <v>47</v>
      </c>
      <c r="C48" s="1">
        <v>7</v>
      </c>
      <c r="D48" s="10">
        <f>SUM(B48:C48)</f>
        <v>54</v>
      </c>
      <c r="E48" s="1">
        <f>(D48*B50)/D50</f>
        <v>27.272727272727273</v>
      </c>
      <c r="F48" s="17">
        <f>(D48*C50)/D50</f>
        <v>26.727272727272727</v>
      </c>
      <c r="G48" s="19">
        <f>((B48-E48)^2)/E48</f>
        <v>14.269393939393938</v>
      </c>
      <c r="H48" s="18">
        <f>((C48-F48)^2)/F48</f>
        <v>14.560606060606061</v>
      </c>
    </row>
    <row r="49" spans="1:8" x14ac:dyDescent="0.35">
      <c r="A49" t="s">
        <v>48</v>
      </c>
      <c r="B49" s="1">
        <v>3</v>
      </c>
      <c r="C49" s="1">
        <v>42</v>
      </c>
      <c r="D49" s="10">
        <f>SUM(B49:C49)</f>
        <v>45</v>
      </c>
      <c r="E49" s="1">
        <f>(D49*B50)/D50</f>
        <v>22.727272727272727</v>
      </c>
      <c r="F49" s="17">
        <f>(D49*C50)/D50</f>
        <v>22.272727272727273</v>
      </c>
      <c r="G49" s="19">
        <f>((B49-E49)^2)/E49</f>
        <v>17.123272727272727</v>
      </c>
      <c r="H49" s="18">
        <f>((C49-F49)^2)/F49</f>
        <v>17.472727272727273</v>
      </c>
    </row>
    <row r="50" spans="1:8" x14ac:dyDescent="0.35">
      <c r="A50" s="10" t="s">
        <v>12</v>
      </c>
      <c r="B50" s="10">
        <f>SUM(B48:B49)</f>
        <v>50</v>
      </c>
      <c r="C50" s="10">
        <f>SUM(C48:C49)</f>
        <v>49</v>
      </c>
      <c r="D50" s="10">
        <f>SUM(D48:D49)</f>
        <v>99</v>
      </c>
    </row>
    <row r="52" spans="1:8" x14ac:dyDescent="0.35">
      <c r="A52" t="s">
        <v>22</v>
      </c>
      <c r="B52">
        <f>SUM(G48:H49)</f>
        <v>63.426000000000002</v>
      </c>
    </row>
    <row r="53" spans="1:8" x14ac:dyDescent="0.35">
      <c r="A53" t="s">
        <v>35</v>
      </c>
      <c r="B53">
        <v>1</v>
      </c>
    </row>
    <row r="54" spans="1:8" x14ac:dyDescent="0.35">
      <c r="A54" t="s">
        <v>36</v>
      </c>
      <c r="B54">
        <f>_xlfn.CHISQ.DIST.RT(B52,B53)</f>
        <v>1.665057385494669E-15</v>
      </c>
    </row>
    <row r="57" spans="1:8" x14ac:dyDescent="0.35">
      <c r="B57" t="s">
        <v>53</v>
      </c>
      <c r="C57" t="s">
        <v>54</v>
      </c>
      <c r="D57" s="10" t="s">
        <v>12</v>
      </c>
      <c r="E57" s="15" t="s">
        <v>20</v>
      </c>
      <c r="F57" s="15"/>
      <c r="G57" s="15" t="s">
        <v>21</v>
      </c>
      <c r="H57" s="15"/>
    </row>
    <row r="58" spans="1:8" x14ac:dyDescent="0.35">
      <c r="A58" t="s">
        <v>51</v>
      </c>
      <c r="B58">
        <v>51</v>
      </c>
      <c r="C58">
        <v>38</v>
      </c>
      <c r="D58" s="10">
        <f>SUM(B58:C58)</f>
        <v>89</v>
      </c>
      <c r="E58" s="22">
        <f>(D58*B60)/D60</f>
        <v>45.747663551401871</v>
      </c>
      <c r="F58" s="20">
        <f>(D58*C60)/D60</f>
        <v>43.252336448598129</v>
      </c>
      <c r="G58" s="24">
        <f>((B58-E58)^2)/E58</f>
        <v>0.60302616631504546</v>
      </c>
      <c r="H58" s="22">
        <f>((C58-F58)^2)/F58</f>
        <v>0.63781613744860577</v>
      </c>
    </row>
    <row r="59" spans="1:8" x14ac:dyDescent="0.35">
      <c r="A59" t="s">
        <v>52</v>
      </c>
      <c r="B59">
        <v>4</v>
      </c>
      <c r="C59">
        <v>14</v>
      </c>
      <c r="D59" s="10">
        <f>SUM(B59:C59)</f>
        <v>18</v>
      </c>
      <c r="E59" s="12">
        <f>(D59*B60)/D60</f>
        <v>9.2523364485981308</v>
      </c>
      <c r="F59" s="21">
        <f>(D59*C60)/D60</f>
        <v>8.7476635514018692</v>
      </c>
      <c r="G59" s="23">
        <f>((B59-E59)^2)/E59</f>
        <v>2.9816293778910601</v>
      </c>
      <c r="H59" s="12">
        <f>((C59-F59)^2)/F59</f>
        <v>3.1536464573847751</v>
      </c>
    </row>
    <row r="60" spans="1:8" x14ac:dyDescent="0.35">
      <c r="A60" s="10" t="s">
        <v>12</v>
      </c>
      <c r="B60" s="10">
        <v>55</v>
      </c>
      <c r="C60" s="10">
        <v>52</v>
      </c>
      <c r="D60" s="10">
        <f>SUM(D58:D59)</f>
        <v>107</v>
      </c>
    </row>
    <row r="62" spans="1:8" x14ac:dyDescent="0.35">
      <c r="A62" t="s">
        <v>22</v>
      </c>
      <c r="B62">
        <f>SUM(G58:H59)</f>
        <v>7.3761181390394874</v>
      </c>
    </row>
    <row r="63" spans="1:8" x14ac:dyDescent="0.35">
      <c r="A63" t="s">
        <v>35</v>
      </c>
      <c r="B63">
        <v>1</v>
      </c>
    </row>
    <row r="64" spans="1:8" x14ac:dyDescent="0.35">
      <c r="A64" t="s">
        <v>36</v>
      </c>
      <c r="B64">
        <f>_xlfn.CHISQ.DIST.RT(B62,B63)</f>
        <v>6.6095683015975253E-3</v>
      </c>
    </row>
  </sheetData>
  <mergeCells count="21">
    <mergeCell ref="E57:F57"/>
    <mergeCell ref="G57:H57"/>
    <mergeCell ref="S33:W33"/>
    <mergeCell ref="A33:E33"/>
    <mergeCell ref="A20:I20"/>
    <mergeCell ref="A1:R1"/>
    <mergeCell ref="E47:F47"/>
    <mergeCell ref="G47:H47"/>
    <mergeCell ref="A46:H46"/>
    <mergeCell ref="A4:A5"/>
    <mergeCell ref="A8:A9"/>
    <mergeCell ref="A12:A13"/>
    <mergeCell ref="C2:F2"/>
    <mergeCell ref="H2:I2"/>
    <mergeCell ref="G25:I25"/>
    <mergeCell ref="K2:L2"/>
    <mergeCell ref="Q4:R5"/>
    <mergeCell ref="Q8:R9"/>
    <mergeCell ref="Q12:R13"/>
    <mergeCell ref="Q2:R2"/>
    <mergeCell ref="G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 5</vt:lpstr>
      <vt:lpstr>Ch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Gutierrez</dc:creator>
  <cp:lastModifiedBy>Sebastian Gutierrez</cp:lastModifiedBy>
  <dcterms:created xsi:type="dcterms:W3CDTF">2024-09-30T21:25:06Z</dcterms:created>
  <dcterms:modified xsi:type="dcterms:W3CDTF">2024-10-01T05:08:18Z</dcterms:modified>
</cp:coreProperties>
</file>