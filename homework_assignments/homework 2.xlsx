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OneDrive\Desktop\Homework\Biostats\"/>
    </mc:Choice>
  </mc:AlternateContent>
  <xr:revisionPtr revIDLastSave="0" documentId="13_ncr:1_{F6A424C5-8349-475E-B4F5-94BEABB1448C}" xr6:coauthVersionLast="47" xr6:coauthVersionMax="47" xr10:uidLastSave="{00000000-0000-0000-0000-000000000000}"/>
  <bookViews>
    <workbookView xWindow="-110" yWindow="-110" windowWidth="38620" windowHeight="21220" activeTab="3" xr2:uid="{220E84D3-F029-4B9F-993A-3D0223FC2EE5}"/>
  </bookViews>
  <sheets>
    <sheet name="EEL" sheetId="1" r:id="rId1"/>
    <sheet name="Largemouth Bass" sheetId="2" r:id="rId2"/>
    <sheet name="Larva per Leaf" sheetId="3" r:id="rId3"/>
    <sheet name="Kingfish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6" i="3"/>
  <c r="D7" i="3" s="1"/>
  <c r="D8" i="3" s="1"/>
  <c r="D9" i="3" s="1"/>
  <c r="D10" i="3" s="1"/>
  <c r="D11" i="3" s="1"/>
  <c r="D12" i="3" s="1"/>
  <c r="D4" i="3"/>
  <c r="D3" i="3"/>
  <c r="C3" i="3"/>
  <c r="C4" i="3"/>
  <c r="C5" i="3"/>
  <c r="C6" i="3"/>
  <c r="C7" i="3"/>
  <c r="C8" i="3"/>
  <c r="C9" i="3"/>
  <c r="C10" i="3"/>
  <c r="C11" i="3"/>
  <c r="C12" i="3"/>
  <c r="C2" i="3"/>
  <c r="I9" i="2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8" i="2"/>
  <c r="I6" i="2"/>
  <c r="I7" i="2" s="1"/>
  <c r="I5" i="2"/>
  <c r="D12" i="1"/>
  <c r="D11" i="1"/>
  <c r="D10" i="1"/>
  <c r="D9" i="1"/>
  <c r="D8" i="1"/>
  <c r="D7" i="1"/>
  <c r="D6" i="1"/>
  <c r="D5" i="1"/>
  <c r="D4" i="1"/>
  <c r="C3" i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<sst xmlns="http://schemas.openxmlformats.org/spreadsheetml/2006/main" count="18" uniqueCount="11">
  <si>
    <t>Worms/Eel (x)</t>
  </si>
  <si>
    <t>Number of Eels Containing x Number of Worms</t>
  </si>
  <si>
    <t>Lower B</t>
  </si>
  <si>
    <t>Upper B</t>
  </si>
  <si>
    <t>Frequency</t>
  </si>
  <si>
    <t>Cumulative Frequency</t>
  </si>
  <si>
    <t>Bin</t>
  </si>
  <si>
    <t>Lengths (mm)</t>
  </si>
  <si>
    <t>Larva/Leaf</t>
  </si>
  <si>
    <r>
      <t xml:space="preserve">Number of Leaves Containing </t>
    </r>
    <r>
      <rPr>
        <i/>
        <sz val="11"/>
        <color theme="1"/>
        <rFont val="Aptos Narrow"/>
        <scheme val="minor"/>
      </rPr>
      <t xml:space="preserve">x </t>
    </r>
    <r>
      <rPr>
        <sz val="11"/>
        <color theme="1"/>
        <rFont val="Aptos Narrow"/>
        <scheme val="minor"/>
      </rPr>
      <t>Number of Larvae</t>
    </r>
  </si>
  <si>
    <t>Bill Lengths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</si>
</sst>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0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Worms per Eel VS Number of Eels Containing x Number of Worms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EEL!$B$1</c:f>
              <c:strCache>
                <c:ptCount val="1"/>
                <c:pt idx="0">
                  <c:v>Number of Eels Containing x Number of Worms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EEL!$A$2:$A$12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EEL!$B$2:$B$12</c:f>
              <c:numCache>
                <c:formatCode>General</c:formatCode>
                <c:ptCount val="11"/>
                <c:pt idx="0">
                  <c:v>16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7-4586-A0F5-FD366DBB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172336"/>
        <c:axId val="1639172816"/>
      </c:barChart>
      <c:catAx>
        <c:axId val="1639172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Worms per Eel </a:t>
                </a:r>
                <a:r>
                  <a:rPr lang="en-US" i="1"/>
                  <a:t>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72816"/>
        <c:crosses val="autoZero"/>
        <c:auto val="1"/>
        <c:lblAlgn val="ctr"/>
        <c:lblOffset val="100"/>
        <c:noMultiLvlLbl val="0"/>
      </c:catAx>
      <c:valAx>
        <c:axId val="163917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0"/>
                  <a:t>Num of Eels Containg </a:t>
                </a:r>
                <a:r>
                  <a:rPr lang="en-US" i="1"/>
                  <a:t>x</a:t>
                </a:r>
                <a:r>
                  <a:rPr lang="en-US" baseline="0"/>
                  <a:t> Num of Worms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7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Frequency</a:t>
            </a:r>
            <a:r>
              <a:rPr lang="en-US" baseline="0"/>
              <a:t> of Different Lengths of Largemouth Bass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92D050"/>
            </a:solidFill>
          </c:spPr>
          <c:invertIfNegative val="0"/>
          <c:cat>
            <c:numRef>
              <c:f>'Largemouth Bass'!$G$4:$G$45</c:f>
              <c:numCache>
                <c:formatCode>General</c:formatCode>
                <c:ptCount val="42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  <c:pt idx="15">
                  <c:v>210</c:v>
                </c:pt>
                <c:pt idx="16">
                  <c:v>220</c:v>
                </c:pt>
                <c:pt idx="17">
                  <c:v>230</c:v>
                </c:pt>
                <c:pt idx="18">
                  <c:v>240</c:v>
                </c:pt>
                <c:pt idx="19">
                  <c:v>250</c:v>
                </c:pt>
                <c:pt idx="20">
                  <c:v>260</c:v>
                </c:pt>
                <c:pt idx="21">
                  <c:v>270</c:v>
                </c:pt>
                <c:pt idx="22">
                  <c:v>280</c:v>
                </c:pt>
                <c:pt idx="23">
                  <c:v>290</c:v>
                </c:pt>
                <c:pt idx="24">
                  <c:v>300</c:v>
                </c:pt>
                <c:pt idx="25">
                  <c:v>310</c:v>
                </c:pt>
                <c:pt idx="26">
                  <c:v>320</c:v>
                </c:pt>
                <c:pt idx="27">
                  <c:v>330</c:v>
                </c:pt>
                <c:pt idx="28">
                  <c:v>340</c:v>
                </c:pt>
                <c:pt idx="29">
                  <c:v>350</c:v>
                </c:pt>
                <c:pt idx="30">
                  <c:v>360</c:v>
                </c:pt>
                <c:pt idx="31">
                  <c:v>370</c:v>
                </c:pt>
                <c:pt idx="32">
                  <c:v>380</c:v>
                </c:pt>
                <c:pt idx="33">
                  <c:v>390</c:v>
                </c:pt>
                <c:pt idx="34">
                  <c:v>400</c:v>
                </c:pt>
                <c:pt idx="35">
                  <c:v>410</c:v>
                </c:pt>
                <c:pt idx="36">
                  <c:v>420</c:v>
                </c:pt>
                <c:pt idx="37">
                  <c:v>430</c:v>
                </c:pt>
                <c:pt idx="38">
                  <c:v>440</c:v>
                </c:pt>
                <c:pt idx="39">
                  <c:v>450</c:v>
                </c:pt>
                <c:pt idx="40">
                  <c:v>460</c:v>
                </c:pt>
              </c:numCache>
            </c:numRef>
          </c:cat>
          <c:val>
            <c:numRef>
              <c:f>'Largemouth Bass'!$H$4:$H$45</c:f>
              <c:numCache>
                <c:formatCode>General</c:formatCode>
                <c:ptCount val="4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6</c:v>
                </c:pt>
                <c:pt idx="13">
                  <c:v>3</c:v>
                </c:pt>
                <c:pt idx="14">
                  <c:v>9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0</c:v>
                </c:pt>
                <c:pt idx="23">
                  <c:v>4</c:v>
                </c:pt>
                <c:pt idx="24">
                  <c:v>3</c:v>
                </c:pt>
                <c:pt idx="25">
                  <c:v>4</c:v>
                </c:pt>
                <c:pt idx="26">
                  <c:v>8</c:v>
                </c:pt>
                <c:pt idx="27">
                  <c:v>6</c:v>
                </c:pt>
                <c:pt idx="28">
                  <c:v>4</c:v>
                </c:pt>
                <c:pt idx="29">
                  <c:v>4</c:v>
                </c:pt>
                <c:pt idx="30">
                  <c:v>2</c:v>
                </c:pt>
                <c:pt idx="31">
                  <c:v>6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6">
                  <c:v>3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72-4719-97E0-A6C0797AA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43851296"/>
        <c:axId val="1843854656"/>
      </c:barChart>
      <c:catAx>
        <c:axId val="1843851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Length</a:t>
                </a:r>
                <a:r>
                  <a:rPr lang="en-US" baseline="0"/>
                  <a:t> of Largemouth Bass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3854656"/>
        <c:crosses val="autoZero"/>
        <c:auto val="1"/>
        <c:lblAlgn val="ctr"/>
        <c:lblOffset val="100"/>
        <c:noMultiLvlLbl val="0"/>
      </c:catAx>
      <c:valAx>
        <c:axId val="18438546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3851296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Larva</a:t>
            </a:r>
            <a:r>
              <a:rPr lang="en-US" baseline="0"/>
              <a:t> per Leaf VS </a:t>
            </a:r>
            <a:r>
              <a:rPr lang="en-US"/>
              <a:t>Number of Leaves Containing x Number of Larvae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'Larva per Leaf'!$B$1</c:f>
              <c:strCache>
                <c:ptCount val="1"/>
                <c:pt idx="0">
                  <c:v>Number of Leaves Containing x Number of Larvae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'Larva per Leaf'!$A$2:$A$12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'Larva per Leaf'!$B$2:$B$12</c:f>
              <c:numCache>
                <c:formatCode>General</c:formatCode>
                <c:ptCount val="11"/>
                <c:pt idx="0">
                  <c:v>10</c:v>
                </c:pt>
                <c:pt idx="1">
                  <c:v>15</c:v>
                </c:pt>
                <c:pt idx="2">
                  <c:v>27</c:v>
                </c:pt>
                <c:pt idx="3">
                  <c:v>18</c:v>
                </c:pt>
                <c:pt idx="4">
                  <c:v>38</c:v>
                </c:pt>
                <c:pt idx="5">
                  <c:v>57</c:v>
                </c:pt>
                <c:pt idx="6">
                  <c:v>22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A-4448-AB02-DDD7DBE3B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508608"/>
        <c:axId val="1249507168"/>
      </c:barChart>
      <c:catAx>
        <c:axId val="124950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Larva</a:t>
                </a:r>
                <a:r>
                  <a:rPr lang="en-US" baseline="0"/>
                  <a:t> per Leaf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07168"/>
        <c:crosses val="autoZero"/>
        <c:auto val="1"/>
        <c:lblAlgn val="ctr"/>
        <c:lblOffset val="100"/>
        <c:noMultiLvlLbl val="0"/>
      </c:catAx>
      <c:valAx>
        <c:axId val="124950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Leaves Containing x Number of Larvae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0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298450</xdr:colOff>
      <xdr:row>25</xdr:row>
      <xdr:rowOff>12700</xdr:rowOff>
    </xdr:from>
    <xdr:to>
      <xdr:col>13</xdr:col>
      <xdr:colOff>25399</xdr:colOff>
      <xdr:row>46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C9E86-12BD-4837-696F-DB8A1DC5B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565150</xdr:colOff>
      <xdr:row>28</xdr:row>
      <xdr:rowOff>146050</xdr:rowOff>
    </xdr:from>
    <xdr:to>
      <xdr:col>29</xdr:col>
      <xdr:colOff>558800</xdr:colOff>
      <xdr:row>49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555D5-CF9D-2BA7-91A1-653641371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752474</xdr:colOff>
      <xdr:row>7</xdr:row>
      <xdr:rowOff>177800</xdr:rowOff>
    </xdr:from>
    <xdr:to>
      <xdr:col>31</xdr:col>
      <xdr:colOff>12699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E6DC6-5C27-F422-2CEC-F6541713C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2110-4F43-48B6-B71E-D4AC0215238A}">
  <dimension ref="A1:Z27"/>
  <sheetViews>
    <sheetView workbookViewId="0">
      <selection activeCell="O3" sqref="O3:Z23"/>
    </sheetView>
  </sheetViews>
  <sheetFormatPr defaultColWidth="8.81640625" defaultRowHeight="14.5" x14ac:dyDescent="0.35"/>
  <cols>
    <col min="1" max="1" width="12.81640625" customWidth="1"/>
    <col min="2" max="2" width="14.1796875" customWidth="1"/>
    <col min="3" max="3" width="10.81640625" customWidth="1"/>
    <col min="4" max="4" width="18.453125" customWidth="1"/>
    <col min="9" max="9" width="9.6328125" customWidth="1"/>
  </cols>
  <sheetData>
    <row r="1" spans="1:26" x14ac:dyDescent="0.35">
      <c r="A1" t="s">
        <v>0</v>
      </c>
      <c r="B1" t="s">
        <v>1</v>
      </c>
      <c r="C1" t="s">
        <v>4</v>
      </c>
      <c r="D1" t="s">
        <v>5</v>
      </c>
    </row>
    <row r="2" spans="1:26" x14ac:dyDescent="0.35">
      <c r="A2">
        <v>0</v>
      </c>
      <c r="B2">
        <v>16</v>
      </c>
      <c r="C2">
        <f>B2*A2</f>
        <v>0</v>
      </c>
      <c r="D2">
        <v>0</v>
      </c>
    </row>
    <row r="3" spans="1:26" x14ac:dyDescent="0.35">
      <c r="A3">
        <v>1</v>
      </c>
      <c r="B3">
        <v>7</v>
      </c>
      <c r="C3">
        <f t="shared" ref="C3:C12" si="0">B3*A3</f>
        <v>7</v>
      </c>
      <c r="D3">
        <v>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>
        <v>2</v>
      </c>
      <c r="B4">
        <v>4</v>
      </c>
      <c r="C4">
        <f t="shared" si="0"/>
        <v>8</v>
      </c>
      <c r="D4">
        <f>7+8</f>
        <v>15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>
        <v>3</v>
      </c>
      <c r="B5">
        <v>3</v>
      </c>
      <c r="C5">
        <f t="shared" si="0"/>
        <v>9</v>
      </c>
      <c r="D5">
        <f>15+9</f>
        <v>24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A6">
        <v>4</v>
      </c>
      <c r="B6">
        <v>2</v>
      </c>
      <c r="C6">
        <f t="shared" si="0"/>
        <v>8</v>
      </c>
      <c r="D6">
        <f>24+8</f>
        <v>32</v>
      </c>
      <c r="G6" t="s">
        <v>2</v>
      </c>
      <c r="H6" t="s">
        <v>3</v>
      </c>
      <c r="I6" t="s">
        <v>4</v>
      </c>
      <c r="J6" t="s">
        <v>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>
        <v>5</v>
      </c>
      <c r="B7">
        <v>2</v>
      </c>
      <c r="C7">
        <f t="shared" si="0"/>
        <v>10</v>
      </c>
      <c r="D7">
        <f>32+10</f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>
        <v>6</v>
      </c>
      <c r="B8">
        <v>1</v>
      </c>
      <c r="C8">
        <f t="shared" si="0"/>
        <v>6</v>
      </c>
      <c r="D8">
        <f>42+6</f>
        <v>48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>
        <v>7</v>
      </c>
      <c r="B9">
        <v>2</v>
      </c>
      <c r="C9">
        <f t="shared" si="0"/>
        <v>14</v>
      </c>
      <c r="D9">
        <f>48+14</f>
        <v>62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>
        <v>8</v>
      </c>
      <c r="B10">
        <v>1</v>
      </c>
      <c r="C10">
        <f t="shared" si="0"/>
        <v>8</v>
      </c>
      <c r="D10">
        <f>62+8</f>
        <v>70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>
        <v>9</v>
      </c>
      <c r="B11">
        <v>1</v>
      </c>
      <c r="C11">
        <f t="shared" si="0"/>
        <v>9</v>
      </c>
      <c r="D11">
        <f>70+9</f>
        <v>79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5">
      <c r="A12">
        <v>10</v>
      </c>
      <c r="B12">
        <v>1</v>
      </c>
      <c r="C12">
        <f t="shared" si="0"/>
        <v>10</v>
      </c>
      <c r="D12">
        <f>79+10</f>
        <v>89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D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4:26" x14ac:dyDescent="0.35">
      <c r="D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4:26" x14ac:dyDescent="0.35">
      <c r="D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4:26" x14ac:dyDescent="0.35">
      <c r="D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4:26" x14ac:dyDescent="0.35">
      <c r="D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4:26" x14ac:dyDescent="0.35">
      <c r="D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4:26" x14ac:dyDescent="0.35">
      <c r="D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4:26" x14ac:dyDescent="0.35">
      <c r="D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4:26" x14ac:dyDescent="0.35">
      <c r="D24" s="2"/>
    </row>
    <row r="25" spans="4:26" x14ac:dyDescent="0.35">
      <c r="D25" s="2"/>
    </row>
    <row r="26" spans="4:26" x14ac:dyDescent="0.35">
      <c r="D26" s="2"/>
    </row>
    <row r="27" spans="4:26" x14ac:dyDescent="0.35">
      <c r="D27" s="2"/>
    </row>
  </sheetData>
  <sortState xmlns:xlrd2="http://schemas.microsoft.com/office/spreadsheetml/2017/richdata2" ref="B16:B26">
    <sortCondition ref="B16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61B8F-DE90-4299-9AC2-4353924275C9}">
  <dimension ref="A1:V101"/>
  <sheetViews>
    <sheetView workbookViewId="0">
      <selection activeCell="K3" sqref="K3:V23"/>
    </sheetView>
  </sheetViews>
  <sheetFormatPr defaultColWidth="8.81640625" defaultRowHeight="14.5" x14ac:dyDescent="0.35"/>
  <sheetData>
    <row r="1" spans="1:22" x14ac:dyDescent="0.35">
      <c r="A1" t="s">
        <v>7</v>
      </c>
      <c r="C1" t="s">
        <v>6</v>
      </c>
    </row>
    <row r="2" spans="1:22" ht="15" thickBot="1" x14ac:dyDescent="0.4">
      <c r="A2">
        <v>210</v>
      </c>
      <c r="C2">
        <v>60</v>
      </c>
    </row>
    <row r="3" spans="1:22" x14ac:dyDescent="0.35">
      <c r="A3">
        <v>325</v>
      </c>
      <c r="C3">
        <v>70</v>
      </c>
      <c r="G3" s="4" t="s">
        <v>6</v>
      </c>
      <c r="H3" s="4" t="s">
        <v>4</v>
      </c>
      <c r="I3" s="5" t="s">
        <v>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>
        <v>285</v>
      </c>
      <c r="C4">
        <v>80</v>
      </c>
      <c r="G4">
        <v>60</v>
      </c>
      <c r="H4">
        <v>0</v>
      </c>
      <c r="I4">
        <v>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>
        <v>402</v>
      </c>
      <c r="C5">
        <v>90</v>
      </c>
      <c r="G5">
        <v>70</v>
      </c>
      <c r="H5">
        <v>2</v>
      </c>
      <c r="I5">
        <f>SUM(I4+H5)</f>
        <v>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5">
      <c r="A6">
        <v>350</v>
      </c>
      <c r="C6">
        <v>100</v>
      </c>
      <c r="G6">
        <v>80</v>
      </c>
      <c r="H6">
        <v>0</v>
      </c>
      <c r="I6">
        <f t="shared" ref="I6:I7" si="0">SUM(I5+H6)</f>
        <v>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>
        <v>240</v>
      </c>
      <c r="C7">
        <v>110</v>
      </c>
      <c r="G7">
        <v>90</v>
      </c>
      <c r="H7">
        <v>1</v>
      </c>
      <c r="I7">
        <f t="shared" si="0"/>
        <v>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>
        <v>409</v>
      </c>
      <c r="C8">
        <v>120</v>
      </c>
      <c r="G8">
        <v>100</v>
      </c>
      <c r="H8">
        <v>1</v>
      </c>
      <c r="I8">
        <f>SUM(I7+H8)</f>
        <v>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>
        <v>330</v>
      </c>
      <c r="C9">
        <v>130</v>
      </c>
      <c r="G9">
        <v>110</v>
      </c>
      <c r="H9">
        <v>0</v>
      </c>
      <c r="I9">
        <f t="shared" ref="I9:I44" si="1">SUM(I8+H9)</f>
        <v>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A10">
        <v>295</v>
      </c>
      <c r="C10">
        <v>140</v>
      </c>
      <c r="G10">
        <v>120</v>
      </c>
      <c r="H10">
        <v>3</v>
      </c>
      <c r="I10">
        <f t="shared" si="1"/>
        <v>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>
        <v>325</v>
      </c>
      <c r="C11">
        <v>150</v>
      </c>
      <c r="G11">
        <v>130</v>
      </c>
      <c r="H11">
        <v>1</v>
      </c>
      <c r="I11">
        <f t="shared" si="1"/>
        <v>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>
        <v>241</v>
      </c>
      <c r="C12">
        <v>160</v>
      </c>
      <c r="G12">
        <v>140</v>
      </c>
      <c r="H12">
        <v>1</v>
      </c>
      <c r="I12">
        <f t="shared" si="1"/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5">
      <c r="A13">
        <v>383</v>
      </c>
      <c r="C13">
        <v>170</v>
      </c>
      <c r="G13">
        <v>150</v>
      </c>
      <c r="H13">
        <v>0</v>
      </c>
      <c r="I13">
        <f t="shared" si="1"/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5">
      <c r="A14">
        <v>361</v>
      </c>
      <c r="C14">
        <v>180</v>
      </c>
      <c r="G14">
        <v>160</v>
      </c>
      <c r="H14">
        <v>1</v>
      </c>
      <c r="I14">
        <f t="shared" si="1"/>
        <v>10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5">
      <c r="A15">
        <v>355</v>
      </c>
      <c r="C15">
        <v>190</v>
      </c>
      <c r="G15">
        <v>170</v>
      </c>
      <c r="H15">
        <v>2</v>
      </c>
      <c r="I15">
        <f t="shared" si="1"/>
        <v>12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5">
      <c r="A16">
        <v>200</v>
      </c>
      <c r="C16">
        <v>200</v>
      </c>
      <c r="G16">
        <v>180</v>
      </c>
      <c r="H16">
        <v>6</v>
      </c>
      <c r="I16">
        <f t="shared" si="1"/>
        <v>18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5">
      <c r="A17">
        <v>432</v>
      </c>
      <c r="C17">
        <v>210</v>
      </c>
      <c r="G17">
        <v>190</v>
      </c>
      <c r="H17">
        <v>3</v>
      </c>
      <c r="I17">
        <f t="shared" si="1"/>
        <v>21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5">
      <c r="A18">
        <v>130</v>
      </c>
      <c r="C18">
        <v>220</v>
      </c>
      <c r="G18">
        <v>200</v>
      </c>
      <c r="H18">
        <v>9</v>
      </c>
      <c r="I18">
        <f t="shared" si="1"/>
        <v>30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5">
      <c r="A19">
        <v>113</v>
      </c>
      <c r="C19">
        <v>230</v>
      </c>
      <c r="G19">
        <v>210</v>
      </c>
      <c r="H19">
        <v>5</v>
      </c>
      <c r="I19">
        <f t="shared" si="1"/>
        <v>35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5">
      <c r="A20">
        <v>170</v>
      </c>
      <c r="C20">
        <v>240</v>
      </c>
      <c r="G20">
        <v>220</v>
      </c>
      <c r="H20">
        <v>1</v>
      </c>
      <c r="I20">
        <f t="shared" si="1"/>
        <v>36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>
        <v>135</v>
      </c>
      <c r="C21">
        <v>250</v>
      </c>
      <c r="G21">
        <v>230</v>
      </c>
      <c r="H21">
        <v>0</v>
      </c>
      <c r="I21">
        <f t="shared" si="1"/>
        <v>36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5">
      <c r="A22">
        <v>371</v>
      </c>
      <c r="C22">
        <v>260</v>
      </c>
      <c r="G22">
        <v>240</v>
      </c>
      <c r="H22">
        <v>2</v>
      </c>
      <c r="I22">
        <f t="shared" si="1"/>
        <v>38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5">
      <c r="A23">
        <v>307</v>
      </c>
      <c r="C23">
        <v>270</v>
      </c>
      <c r="G23">
        <v>250</v>
      </c>
      <c r="H23">
        <v>3</v>
      </c>
      <c r="I23">
        <f t="shared" si="1"/>
        <v>41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5">
      <c r="A24">
        <v>207</v>
      </c>
      <c r="C24">
        <v>280</v>
      </c>
      <c r="G24">
        <v>260</v>
      </c>
      <c r="H24">
        <v>2</v>
      </c>
      <c r="I24">
        <f t="shared" si="1"/>
        <v>43</v>
      </c>
    </row>
    <row r="25" spans="1:22" x14ac:dyDescent="0.35">
      <c r="A25">
        <v>175</v>
      </c>
      <c r="C25">
        <v>290</v>
      </c>
      <c r="G25">
        <v>270</v>
      </c>
      <c r="H25">
        <v>2</v>
      </c>
      <c r="I25">
        <f t="shared" si="1"/>
        <v>45</v>
      </c>
    </row>
    <row r="26" spans="1:22" x14ac:dyDescent="0.35">
      <c r="A26">
        <v>177</v>
      </c>
      <c r="C26">
        <v>300</v>
      </c>
      <c r="G26">
        <v>280</v>
      </c>
      <c r="H26">
        <v>0</v>
      </c>
      <c r="I26">
        <f t="shared" si="1"/>
        <v>45</v>
      </c>
    </row>
    <row r="27" spans="1:22" x14ac:dyDescent="0.35">
      <c r="A27">
        <v>261</v>
      </c>
      <c r="C27">
        <v>310</v>
      </c>
      <c r="G27">
        <v>290</v>
      </c>
      <c r="H27">
        <v>4</v>
      </c>
      <c r="I27">
        <f t="shared" si="1"/>
        <v>49</v>
      </c>
    </row>
    <row r="28" spans="1:22" x14ac:dyDescent="0.35">
      <c r="A28">
        <v>166</v>
      </c>
      <c r="C28">
        <v>320</v>
      </c>
      <c r="G28">
        <v>300</v>
      </c>
      <c r="H28">
        <v>3</v>
      </c>
      <c r="I28">
        <f t="shared" si="1"/>
        <v>52</v>
      </c>
    </row>
    <row r="29" spans="1:22" x14ac:dyDescent="0.35">
      <c r="A29">
        <v>367</v>
      </c>
      <c r="C29">
        <v>330</v>
      </c>
      <c r="G29">
        <v>310</v>
      </c>
      <c r="H29">
        <v>4</v>
      </c>
      <c r="I29">
        <f t="shared" si="1"/>
        <v>56</v>
      </c>
    </row>
    <row r="30" spans="1:22" x14ac:dyDescent="0.35">
      <c r="A30">
        <v>216</v>
      </c>
      <c r="C30">
        <v>340</v>
      </c>
      <c r="G30">
        <v>320</v>
      </c>
      <c r="H30">
        <v>8</v>
      </c>
      <c r="I30">
        <f t="shared" si="1"/>
        <v>64</v>
      </c>
    </row>
    <row r="31" spans="1:22" x14ac:dyDescent="0.35">
      <c r="A31">
        <v>152</v>
      </c>
      <c r="C31">
        <v>350</v>
      </c>
      <c r="G31">
        <v>330</v>
      </c>
      <c r="H31">
        <v>6</v>
      </c>
      <c r="I31">
        <f t="shared" si="1"/>
        <v>70</v>
      </c>
    </row>
    <row r="32" spans="1:22" x14ac:dyDescent="0.35">
      <c r="A32">
        <v>347</v>
      </c>
      <c r="C32">
        <v>360</v>
      </c>
      <c r="G32">
        <v>340</v>
      </c>
      <c r="H32">
        <v>4</v>
      </c>
      <c r="I32">
        <f t="shared" si="1"/>
        <v>74</v>
      </c>
    </row>
    <row r="33" spans="1:9" x14ac:dyDescent="0.35">
      <c r="A33">
        <v>322</v>
      </c>
      <c r="C33">
        <v>370</v>
      </c>
      <c r="G33">
        <v>350</v>
      </c>
      <c r="H33">
        <v>4</v>
      </c>
      <c r="I33">
        <f t="shared" si="1"/>
        <v>78</v>
      </c>
    </row>
    <row r="34" spans="1:9" x14ac:dyDescent="0.35">
      <c r="A34">
        <v>387</v>
      </c>
      <c r="C34">
        <v>380</v>
      </c>
      <c r="G34">
        <v>360</v>
      </c>
      <c r="H34">
        <v>2</v>
      </c>
      <c r="I34">
        <f t="shared" si="1"/>
        <v>80</v>
      </c>
    </row>
    <row r="35" spans="1:9" x14ac:dyDescent="0.35">
      <c r="A35">
        <v>233</v>
      </c>
      <c r="C35">
        <v>390</v>
      </c>
      <c r="G35">
        <v>370</v>
      </c>
      <c r="H35">
        <v>6</v>
      </c>
      <c r="I35">
        <f t="shared" si="1"/>
        <v>86</v>
      </c>
    </row>
    <row r="36" spans="1:9" x14ac:dyDescent="0.35">
      <c r="A36">
        <v>284</v>
      </c>
      <c r="C36">
        <v>400</v>
      </c>
      <c r="G36">
        <v>380</v>
      </c>
      <c r="H36">
        <v>1</v>
      </c>
      <c r="I36">
        <f t="shared" si="1"/>
        <v>87</v>
      </c>
    </row>
    <row r="37" spans="1:9" x14ac:dyDescent="0.35">
      <c r="A37">
        <v>394</v>
      </c>
      <c r="C37">
        <v>410</v>
      </c>
      <c r="G37">
        <v>390</v>
      </c>
      <c r="H37">
        <v>2</v>
      </c>
      <c r="I37">
        <f t="shared" si="1"/>
        <v>89</v>
      </c>
    </row>
    <row r="38" spans="1:9" x14ac:dyDescent="0.35">
      <c r="A38">
        <v>297</v>
      </c>
      <c r="C38">
        <v>420</v>
      </c>
      <c r="G38">
        <v>400</v>
      </c>
      <c r="H38">
        <v>3</v>
      </c>
      <c r="I38">
        <f t="shared" si="1"/>
        <v>92</v>
      </c>
    </row>
    <row r="39" spans="1:9" x14ac:dyDescent="0.35">
      <c r="A39">
        <v>321</v>
      </c>
      <c r="C39">
        <v>430</v>
      </c>
      <c r="G39">
        <v>410</v>
      </c>
      <c r="H39">
        <v>2</v>
      </c>
      <c r="I39">
        <f t="shared" si="1"/>
        <v>94</v>
      </c>
    </row>
    <row r="40" spans="1:9" x14ac:dyDescent="0.35">
      <c r="A40">
        <v>281</v>
      </c>
      <c r="C40">
        <v>440</v>
      </c>
      <c r="G40">
        <v>420</v>
      </c>
      <c r="H40">
        <v>3</v>
      </c>
      <c r="I40">
        <f t="shared" si="1"/>
        <v>97</v>
      </c>
    </row>
    <row r="41" spans="1:9" x14ac:dyDescent="0.35">
      <c r="A41">
        <v>66</v>
      </c>
      <c r="C41">
        <v>450</v>
      </c>
      <c r="G41">
        <v>430</v>
      </c>
      <c r="H41">
        <v>0</v>
      </c>
      <c r="I41">
        <f t="shared" si="1"/>
        <v>97</v>
      </c>
    </row>
    <row r="42" spans="1:9" x14ac:dyDescent="0.35">
      <c r="A42">
        <v>90</v>
      </c>
      <c r="C42">
        <v>460</v>
      </c>
      <c r="G42">
        <v>440</v>
      </c>
      <c r="H42">
        <v>2</v>
      </c>
      <c r="I42">
        <f t="shared" si="1"/>
        <v>99</v>
      </c>
    </row>
    <row r="43" spans="1:9" x14ac:dyDescent="0.35">
      <c r="A43">
        <v>115</v>
      </c>
      <c r="G43">
        <v>450</v>
      </c>
      <c r="H43">
        <v>0</v>
      </c>
      <c r="I43">
        <f t="shared" si="1"/>
        <v>99</v>
      </c>
    </row>
    <row r="44" spans="1:9" x14ac:dyDescent="0.35">
      <c r="A44">
        <v>250</v>
      </c>
      <c r="G44">
        <v>460</v>
      </c>
      <c r="H44">
        <v>1</v>
      </c>
      <c r="I44">
        <f t="shared" si="1"/>
        <v>100</v>
      </c>
    </row>
    <row r="45" spans="1:9" ht="15" thickBot="1" x14ac:dyDescent="0.4">
      <c r="A45">
        <v>201</v>
      </c>
      <c r="G45" s="3"/>
      <c r="H45" s="3"/>
    </row>
    <row r="46" spans="1:9" x14ac:dyDescent="0.35">
      <c r="A46">
        <v>175</v>
      </c>
    </row>
    <row r="47" spans="1:9" x14ac:dyDescent="0.35">
      <c r="A47">
        <v>320</v>
      </c>
    </row>
    <row r="48" spans="1:9" x14ac:dyDescent="0.35">
      <c r="A48">
        <v>370</v>
      </c>
    </row>
    <row r="49" spans="1:1" x14ac:dyDescent="0.35">
      <c r="A49">
        <v>312</v>
      </c>
    </row>
    <row r="50" spans="1:1" x14ac:dyDescent="0.35">
      <c r="A50">
        <v>370</v>
      </c>
    </row>
    <row r="51" spans="1:1" x14ac:dyDescent="0.35">
      <c r="A51">
        <v>320</v>
      </c>
    </row>
    <row r="52" spans="1:1" x14ac:dyDescent="0.35">
      <c r="A52">
        <v>175</v>
      </c>
    </row>
    <row r="53" spans="1:1" x14ac:dyDescent="0.35">
      <c r="A53">
        <v>201</v>
      </c>
    </row>
    <row r="54" spans="1:1" x14ac:dyDescent="0.35">
      <c r="A54">
        <v>250</v>
      </c>
    </row>
    <row r="55" spans="1:1" x14ac:dyDescent="0.35">
      <c r="A55">
        <v>115</v>
      </c>
    </row>
    <row r="56" spans="1:1" x14ac:dyDescent="0.35">
      <c r="A56">
        <v>95</v>
      </c>
    </row>
    <row r="57" spans="1:1" x14ac:dyDescent="0.35">
      <c r="A57">
        <v>70</v>
      </c>
    </row>
    <row r="58" spans="1:1" x14ac:dyDescent="0.35">
      <c r="A58">
        <v>289</v>
      </c>
    </row>
    <row r="59" spans="1:1" x14ac:dyDescent="0.35">
      <c r="A59">
        <v>312</v>
      </c>
    </row>
    <row r="60" spans="1:1" x14ac:dyDescent="0.35">
      <c r="A60">
        <v>322</v>
      </c>
    </row>
    <row r="61" spans="1:1" x14ac:dyDescent="0.35">
      <c r="A61">
        <v>258</v>
      </c>
    </row>
    <row r="62" spans="1:1" x14ac:dyDescent="0.35">
      <c r="A62">
        <v>188</v>
      </c>
    </row>
    <row r="63" spans="1:1" x14ac:dyDescent="0.35">
      <c r="A63">
        <v>192</v>
      </c>
    </row>
    <row r="64" spans="1:1" x14ac:dyDescent="0.35">
      <c r="A64">
        <v>350</v>
      </c>
    </row>
    <row r="65" spans="1:1" x14ac:dyDescent="0.35">
      <c r="A65">
        <v>200</v>
      </c>
    </row>
    <row r="66" spans="1:1" x14ac:dyDescent="0.35">
      <c r="A66">
        <v>199</v>
      </c>
    </row>
    <row r="67" spans="1:1" x14ac:dyDescent="0.35">
      <c r="A67">
        <v>180</v>
      </c>
    </row>
    <row r="68" spans="1:1" x14ac:dyDescent="0.35">
      <c r="A68">
        <v>190</v>
      </c>
    </row>
    <row r="69" spans="1:1" x14ac:dyDescent="0.35">
      <c r="A69">
        <v>180</v>
      </c>
    </row>
    <row r="70" spans="1:1" x14ac:dyDescent="0.35">
      <c r="A70">
        <v>200</v>
      </c>
    </row>
    <row r="71" spans="1:1" x14ac:dyDescent="0.35">
      <c r="A71">
        <v>200</v>
      </c>
    </row>
    <row r="72" spans="1:1" x14ac:dyDescent="0.35">
      <c r="A72">
        <v>349</v>
      </c>
    </row>
    <row r="73" spans="1:1" x14ac:dyDescent="0.35">
      <c r="A73">
        <v>192</v>
      </c>
    </row>
    <row r="74" spans="1:1" x14ac:dyDescent="0.35">
      <c r="A74">
        <v>189</v>
      </c>
    </row>
    <row r="75" spans="1:1" x14ac:dyDescent="0.35">
      <c r="A75">
        <v>260</v>
      </c>
    </row>
    <row r="76" spans="1:1" x14ac:dyDescent="0.35">
      <c r="A76">
        <v>320</v>
      </c>
    </row>
    <row r="77" spans="1:1" x14ac:dyDescent="0.35">
      <c r="A77">
        <v>432</v>
      </c>
    </row>
    <row r="78" spans="1:1" x14ac:dyDescent="0.35">
      <c r="A78">
        <v>456</v>
      </c>
    </row>
    <row r="79" spans="1:1" x14ac:dyDescent="0.35">
      <c r="A79">
        <v>331</v>
      </c>
    </row>
    <row r="80" spans="1:1" x14ac:dyDescent="0.35">
      <c r="A80">
        <v>418</v>
      </c>
    </row>
    <row r="81" spans="1:1" x14ac:dyDescent="0.35">
      <c r="A81">
        <v>357</v>
      </c>
    </row>
    <row r="82" spans="1:1" x14ac:dyDescent="0.35">
      <c r="A82">
        <v>304</v>
      </c>
    </row>
    <row r="83" spans="1:1" x14ac:dyDescent="0.35">
      <c r="A83">
        <v>316</v>
      </c>
    </row>
    <row r="84" spans="1:1" x14ac:dyDescent="0.35">
      <c r="A84">
        <v>336</v>
      </c>
    </row>
    <row r="85" spans="1:1" x14ac:dyDescent="0.35">
      <c r="A85">
        <v>368</v>
      </c>
    </row>
    <row r="86" spans="1:1" x14ac:dyDescent="0.35">
      <c r="A86">
        <v>415</v>
      </c>
    </row>
    <row r="87" spans="1:1" x14ac:dyDescent="0.35">
      <c r="A87">
        <v>370</v>
      </c>
    </row>
    <row r="88" spans="1:1" x14ac:dyDescent="0.35">
      <c r="A88">
        <v>336</v>
      </c>
    </row>
    <row r="89" spans="1:1" x14ac:dyDescent="0.35">
      <c r="A89">
        <v>315</v>
      </c>
    </row>
    <row r="90" spans="1:1" x14ac:dyDescent="0.35">
      <c r="A90">
        <v>305</v>
      </c>
    </row>
    <row r="91" spans="1:1" x14ac:dyDescent="0.35">
      <c r="A91">
        <v>420</v>
      </c>
    </row>
    <row r="92" spans="1:1" x14ac:dyDescent="0.35">
      <c r="A92">
        <v>310</v>
      </c>
    </row>
    <row r="93" spans="1:1" x14ac:dyDescent="0.35">
      <c r="A93">
        <v>397</v>
      </c>
    </row>
    <row r="94" spans="1:1" x14ac:dyDescent="0.35">
      <c r="A94">
        <v>193</v>
      </c>
    </row>
    <row r="95" spans="1:1" x14ac:dyDescent="0.35">
      <c r="A95">
        <v>394</v>
      </c>
    </row>
    <row r="96" spans="1:1" x14ac:dyDescent="0.35">
      <c r="A96">
        <v>199</v>
      </c>
    </row>
    <row r="97" spans="1:1" x14ac:dyDescent="0.35">
      <c r="A97">
        <v>338</v>
      </c>
    </row>
    <row r="98" spans="1:1" x14ac:dyDescent="0.35">
      <c r="A98">
        <v>296</v>
      </c>
    </row>
    <row r="99" spans="1:1" x14ac:dyDescent="0.35">
      <c r="A99">
        <v>312</v>
      </c>
    </row>
    <row r="100" spans="1:1" x14ac:dyDescent="0.35">
      <c r="A100">
        <v>269</v>
      </c>
    </row>
    <row r="101" spans="1:1" x14ac:dyDescent="0.35">
      <c r="A101">
        <v>203</v>
      </c>
    </row>
  </sheetData>
  <sortState xmlns:xlrd2="http://schemas.microsoft.com/office/spreadsheetml/2017/richdata2" ref="G4:G44">
    <sortCondition ref="G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B7F6-750D-504C-9C9A-2C5844D05F48}">
  <dimension ref="A1:AE29"/>
  <sheetViews>
    <sheetView workbookViewId="0">
      <selection activeCell="F11" sqref="F11"/>
    </sheetView>
  </sheetViews>
  <sheetFormatPr defaultColWidth="10.90625" defaultRowHeight="14.5" x14ac:dyDescent="0.35"/>
  <sheetData>
    <row r="1" spans="1:31" x14ac:dyDescent="0.35">
      <c r="A1" t="s">
        <v>8</v>
      </c>
      <c r="B1" t="s">
        <v>9</v>
      </c>
      <c r="C1" t="s">
        <v>4</v>
      </c>
      <c r="D1" t="s">
        <v>5</v>
      </c>
    </row>
    <row r="2" spans="1:31" x14ac:dyDescent="0.35">
      <c r="A2">
        <v>0</v>
      </c>
      <c r="B2">
        <v>10</v>
      </c>
      <c r="C2">
        <f>B2*A2</f>
        <v>0</v>
      </c>
      <c r="D2">
        <v>0</v>
      </c>
    </row>
    <row r="3" spans="1:31" x14ac:dyDescent="0.35">
      <c r="A3">
        <v>1</v>
      </c>
      <c r="B3">
        <v>15</v>
      </c>
      <c r="C3">
        <f t="shared" ref="C3:C12" si="0">B3*A3</f>
        <v>15</v>
      </c>
      <c r="D3">
        <f>D2+C3</f>
        <v>15</v>
      </c>
    </row>
    <row r="4" spans="1:31" x14ac:dyDescent="0.35">
      <c r="A4">
        <v>2</v>
      </c>
      <c r="B4">
        <v>27</v>
      </c>
      <c r="C4">
        <f t="shared" si="0"/>
        <v>54</v>
      </c>
      <c r="D4">
        <f>D3+C4</f>
        <v>69</v>
      </c>
    </row>
    <row r="5" spans="1:31" x14ac:dyDescent="0.35">
      <c r="A5">
        <v>3</v>
      </c>
      <c r="B5">
        <v>18</v>
      </c>
      <c r="C5">
        <f t="shared" si="0"/>
        <v>54</v>
      </c>
      <c r="D5">
        <f t="shared" ref="D5:D12" si="1">D4+C5</f>
        <v>123</v>
      </c>
    </row>
    <row r="6" spans="1:31" x14ac:dyDescent="0.35">
      <c r="A6">
        <v>4</v>
      </c>
      <c r="B6">
        <v>38</v>
      </c>
      <c r="C6">
        <f t="shared" si="0"/>
        <v>152</v>
      </c>
      <c r="D6">
        <f t="shared" si="1"/>
        <v>275</v>
      </c>
    </row>
    <row r="7" spans="1:31" x14ac:dyDescent="0.35">
      <c r="A7">
        <v>5</v>
      </c>
      <c r="B7">
        <v>57</v>
      </c>
      <c r="C7">
        <f t="shared" si="0"/>
        <v>285</v>
      </c>
      <c r="D7">
        <f t="shared" si="1"/>
        <v>560</v>
      </c>
    </row>
    <row r="8" spans="1:31" x14ac:dyDescent="0.35">
      <c r="A8">
        <v>6</v>
      </c>
      <c r="B8">
        <v>22</v>
      </c>
      <c r="C8">
        <f t="shared" si="0"/>
        <v>132</v>
      </c>
      <c r="D8">
        <f t="shared" si="1"/>
        <v>692</v>
      </c>
    </row>
    <row r="9" spans="1:31" x14ac:dyDescent="0.35">
      <c r="A9">
        <v>7</v>
      </c>
      <c r="B9">
        <v>5</v>
      </c>
      <c r="C9">
        <f t="shared" si="0"/>
        <v>35</v>
      </c>
      <c r="D9">
        <f t="shared" si="1"/>
        <v>727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35">
      <c r="A10">
        <v>8</v>
      </c>
      <c r="B10">
        <v>2</v>
      </c>
      <c r="C10">
        <f t="shared" si="0"/>
        <v>16</v>
      </c>
      <c r="D10">
        <f t="shared" si="1"/>
        <v>743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35">
      <c r="A11">
        <v>9</v>
      </c>
      <c r="B11">
        <v>3</v>
      </c>
      <c r="C11">
        <f t="shared" si="0"/>
        <v>27</v>
      </c>
      <c r="D11">
        <f t="shared" si="1"/>
        <v>770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35">
      <c r="A12">
        <v>10</v>
      </c>
      <c r="B12">
        <v>0</v>
      </c>
      <c r="C12">
        <f t="shared" si="0"/>
        <v>0</v>
      </c>
      <c r="D12">
        <f t="shared" si="1"/>
        <v>770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35"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35"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35"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35"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20:31" x14ac:dyDescent="0.35"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20:31" x14ac:dyDescent="0.35"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20:31" x14ac:dyDescent="0.35"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20:31" x14ac:dyDescent="0.35"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20:31" x14ac:dyDescent="0.35"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20:31" x14ac:dyDescent="0.35"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20:31" x14ac:dyDescent="0.35"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20:31" x14ac:dyDescent="0.35"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20:31" x14ac:dyDescent="0.35"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20:31" x14ac:dyDescent="0.35"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20:31" x14ac:dyDescent="0.35"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20:31" x14ac:dyDescent="0.35"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20:31" x14ac:dyDescent="0.35"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8193-CB00-4AD4-96C8-88D7F8DC0F63}">
  <dimension ref="A1:A43"/>
  <sheetViews>
    <sheetView tabSelected="1" workbookViewId="0">
      <selection activeCell="L10" sqref="L10"/>
    </sheetView>
  </sheetViews>
  <sheetFormatPr defaultRowHeight="14.5" x14ac:dyDescent="0.35"/>
  <sheetData>
    <row r="1" spans="1:1" x14ac:dyDescent="0.35">
      <c r="A1" t="s">
        <v>10</v>
      </c>
    </row>
    <row r="2" spans="1:1" x14ac:dyDescent="0.35">
      <c r="A2">
        <v>48.1</v>
      </c>
    </row>
    <row r="3" spans="1:1" x14ac:dyDescent="0.35">
      <c r="A3">
        <v>50.8</v>
      </c>
    </row>
    <row r="4" spans="1:1" x14ac:dyDescent="0.35">
      <c r="A4">
        <v>48.8</v>
      </c>
    </row>
    <row r="5" spans="1:1" x14ac:dyDescent="0.35">
      <c r="A5">
        <v>56.8</v>
      </c>
    </row>
    <row r="6" spans="1:1" x14ac:dyDescent="0.35">
      <c r="A6">
        <v>57.7</v>
      </c>
    </row>
    <row r="7" spans="1:1" x14ac:dyDescent="0.35">
      <c r="A7">
        <v>47.7</v>
      </c>
    </row>
    <row r="8" spans="1:1" x14ac:dyDescent="0.35">
      <c r="A8">
        <v>56.8</v>
      </c>
    </row>
    <row r="9" spans="1:1" x14ac:dyDescent="0.35">
      <c r="A9">
        <v>60.2</v>
      </c>
    </row>
    <row r="10" spans="1:1" x14ac:dyDescent="0.35">
      <c r="A10">
        <v>55.8</v>
      </c>
    </row>
    <row r="11" spans="1:1" x14ac:dyDescent="0.35">
      <c r="A11">
        <v>59.2</v>
      </c>
    </row>
    <row r="12" spans="1:1" x14ac:dyDescent="0.35">
      <c r="A12">
        <v>52.5</v>
      </c>
    </row>
    <row r="13" spans="1:1" x14ac:dyDescent="0.35">
      <c r="A13">
        <v>50.4</v>
      </c>
    </row>
    <row r="14" spans="1:1" x14ac:dyDescent="0.35">
      <c r="A14">
        <v>48</v>
      </c>
    </row>
    <row r="15" spans="1:1" x14ac:dyDescent="0.35">
      <c r="A15">
        <v>57.1</v>
      </c>
    </row>
    <row r="16" spans="1:1" x14ac:dyDescent="0.35">
      <c r="A16">
        <v>51.8</v>
      </c>
    </row>
    <row r="17" spans="1:1" x14ac:dyDescent="0.35">
      <c r="A17">
        <v>52.3</v>
      </c>
    </row>
    <row r="18" spans="1:1" x14ac:dyDescent="0.35">
      <c r="A18">
        <v>47.8</v>
      </c>
    </row>
    <row r="19" spans="1:1" x14ac:dyDescent="0.35">
      <c r="A19">
        <v>58</v>
      </c>
    </row>
    <row r="20" spans="1:1" x14ac:dyDescent="0.35">
      <c r="A20">
        <v>53.4</v>
      </c>
    </row>
    <row r="21" spans="1:1" x14ac:dyDescent="0.35">
      <c r="A21">
        <v>55.2</v>
      </c>
    </row>
    <row r="22" spans="1:1" x14ac:dyDescent="0.35">
      <c r="A22">
        <v>51</v>
      </c>
    </row>
    <row r="23" spans="1:1" x14ac:dyDescent="0.35">
      <c r="A23">
        <v>59.3</v>
      </c>
    </row>
    <row r="24" spans="1:1" x14ac:dyDescent="0.35">
      <c r="A24">
        <v>61.5</v>
      </c>
    </row>
    <row r="25" spans="1:1" x14ac:dyDescent="0.35">
      <c r="A25">
        <v>61.2</v>
      </c>
    </row>
    <row r="26" spans="1:1" x14ac:dyDescent="0.35">
      <c r="A26">
        <v>57.8</v>
      </c>
    </row>
    <row r="27" spans="1:1" x14ac:dyDescent="0.35">
      <c r="A27">
        <v>50.1</v>
      </c>
    </row>
    <row r="28" spans="1:1" x14ac:dyDescent="0.35">
      <c r="A28">
        <v>56</v>
      </c>
    </row>
    <row r="29" spans="1:1" x14ac:dyDescent="0.35">
      <c r="A29">
        <v>56.5</v>
      </c>
    </row>
    <row r="30" spans="1:1" x14ac:dyDescent="0.35">
      <c r="A30">
        <v>55.8</v>
      </c>
    </row>
    <row r="31" spans="1:1" x14ac:dyDescent="0.35">
      <c r="A31">
        <v>56.5</v>
      </c>
    </row>
    <row r="32" spans="1:1" x14ac:dyDescent="0.35">
      <c r="A32">
        <v>56.3</v>
      </c>
    </row>
    <row r="33" spans="1:1" x14ac:dyDescent="0.35">
      <c r="A33">
        <v>59.8</v>
      </c>
    </row>
    <row r="34" spans="1:1" x14ac:dyDescent="0.35">
      <c r="A34">
        <v>61.8</v>
      </c>
    </row>
    <row r="35" spans="1:1" x14ac:dyDescent="0.35">
      <c r="A35">
        <v>56.2</v>
      </c>
    </row>
    <row r="36" spans="1:1" x14ac:dyDescent="0.35">
      <c r="A36">
        <v>57.5</v>
      </c>
    </row>
    <row r="37" spans="1:1" x14ac:dyDescent="0.35">
      <c r="A37">
        <v>59.3</v>
      </c>
    </row>
    <row r="38" spans="1:1" x14ac:dyDescent="0.35">
      <c r="A38">
        <v>62.4</v>
      </c>
    </row>
    <row r="39" spans="1:1" x14ac:dyDescent="0.35">
      <c r="A39">
        <v>61.1</v>
      </c>
    </row>
    <row r="40" spans="1:1" x14ac:dyDescent="0.35">
      <c r="A40">
        <v>59.9</v>
      </c>
    </row>
    <row r="41" spans="1:1" x14ac:dyDescent="0.35">
      <c r="A41">
        <v>55.6</v>
      </c>
    </row>
    <row r="42" spans="1:1" x14ac:dyDescent="0.35">
      <c r="A42">
        <v>56.8</v>
      </c>
    </row>
    <row r="43" spans="1:1" x14ac:dyDescent="0.35">
      <c r="A43">
        <v>59.2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EEL</vt:lpstr>
      <vt:lpstr>Largemouth Bass</vt:lpstr>
      <vt:lpstr>Larva per Leaf</vt:lpstr>
      <vt:lpstr>Kingfishers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Gutierrez</dc:creator>
  <cp:lastModifiedBy>Sebastian Gutierrez</cp:lastModifiedBy>
  <dcterms:created xsi:type="dcterms:W3CDTF">2024-09-12T03:14:14Z</dcterms:created>
  <dcterms:modified xsi:type="dcterms:W3CDTF">2024-09-13T14:55:18Z</dcterms:modified>
</cp:coreProperties>
</file>