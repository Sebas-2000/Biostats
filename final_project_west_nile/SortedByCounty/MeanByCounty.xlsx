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\OneDrive\Desktop\Homework\Biostats\west_nile_2006-2016-main\SortedByCounty\"/>
    </mc:Choice>
  </mc:AlternateContent>
  <xr:revisionPtr revIDLastSave="0" documentId="13_ncr:1_{69DC710C-56B3-41CF-BFB2-649E69A8DE10}" xr6:coauthVersionLast="47" xr6:coauthVersionMax="47" xr10:uidLastSave="{00000000-0000-0000-0000-000000000000}"/>
  <bookViews>
    <workbookView xWindow="-110" yWindow="-110" windowWidth="38620" windowHeight="21220" xr2:uid="{F964D35B-7347-46BB-8CDB-A9AB10460D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0" i="1" l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2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</calcChain>
</file>

<file path=xl/sharedStrings.xml><?xml version="1.0" encoding="utf-8"?>
<sst xmlns="http://schemas.openxmlformats.org/spreadsheetml/2006/main" count="120" uniqueCount="60">
  <si>
    <t>County</t>
  </si>
  <si>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</si>
  <si>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</si>
  <si>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</si>
  <si>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</si>
  <si>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</si>
  <si>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</si>
  <si>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</si>
  <si>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</si>
  <si>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</si>
  <si>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</si>
  <si>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</si>
  <si>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</si>
  <si>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</si>
  <si>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</si>
  <si>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</si>
  <si>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</si>
  <si>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</si>
  <si>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</si>
  <si>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</si>
  <si>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</si>
  <si>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</si>
  <si>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</si>
  <si>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</si>
  <si>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</si>
  <si>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</si>
  <si>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</si>
  <si>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</si>
  <si>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</si>
  <si>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</si>
  <si>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</si>
  <si>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</si>
  <si>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</si>
  <si>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</si>
  <si>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</si>
  <si>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</si>
  <si>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</si>
  <si>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</si>
  <si>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</si>
  <si>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</si>
  <si>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</si>
  <si>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</si>
  <si>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</si>
  <si>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</si>
  <si>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</si>
  <si>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</si>
  <si>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</si>
  <si>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</si>
  <si>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</si>
  <si>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</si>
  <si>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</si>
  <si>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</si>
  <si>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</si>
  <si>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</si>
  <si>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</si>
  <si>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</si>
  <si>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</si>
  <si>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</si>
  <si>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Average</t>
  </si>
  <si>
    <t>Siskiyou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</si>
</sst>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number of cases by county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Sheet1!$Q$2:$Q$59</c:f>
              <c:strCache>
                <c:ptCount val="58"/>
                <c:pt idx="0">
                  <c:v>Alameda</c:v>
                </c:pt>
                <c:pt idx="1">
                  <c:v>Alpine</c:v>
                </c:pt>
                <c:pt idx="2">
                  <c:v>Amador</c:v>
                </c:pt>
                <c:pt idx="3">
                  <c:v>Butte</c:v>
                </c:pt>
                <c:pt idx="4">
                  <c:v>Calaveras</c:v>
                </c:pt>
                <c:pt idx="5">
                  <c:v>Colusa</c:v>
                </c:pt>
                <c:pt idx="6">
                  <c:v>Contra Costa</c:v>
                </c:pt>
                <c:pt idx="7">
                  <c:v>Del Norte</c:v>
                </c:pt>
                <c:pt idx="8">
                  <c:v>El Dorado</c:v>
                </c:pt>
                <c:pt idx="9">
                  <c:v>Fresno</c:v>
                </c:pt>
                <c:pt idx="10">
                  <c:v>Glenn</c:v>
                </c:pt>
                <c:pt idx="11">
                  <c:v>Humboldt</c:v>
                </c:pt>
                <c:pt idx="12">
                  <c:v>Imperial</c:v>
                </c:pt>
                <c:pt idx="13">
                  <c:v>Inyo</c:v>
                </c:pt>
                <c:pt idx="14">
                  <c:v>Kern</c:v>
                </c:pt>
                <c:pt idx="15">
                  <c:v>Kings</c:v>
                </c:pt>
                <c:pt idx="16">
                  <c:v>Lake</c:v>
                </c:pt>
                <c:pt idx="17">
                  <c:v>Lassen</c:v>
                </c:pt>
                <c:pt idx="18">
                  <c:v>Los Angeles</c:v>
                </c:pt>
                <c:pt idx="19">
                  <c:v>Madera</c:v>
                </c:pt>
                <c:pt idx="20">
                  <c:v>Marin</c:v>
                </c:pt>
                <c:pt idx="21">
                  <c:v>Mariposa</c:v>
                </c:pt>
                <c:pt idx="22">
                  <c:v>Mendocino</c:v>
                </c:pt>
                <c:pt idx="23">
                  <c:v>Merced</c:v>
                </c:pt>
                <c:pt idx="24">
                  <c:v>Modoc</c:v>
                </c:pt>
                <c:pt idx="25">
                  <c:v>Mono</c:v>
                </c:pt>
                <c:pt idx="26">
                  <c:v>Monterey</c:v>
                </c:pt>
                <c:pt idx="27">
                  <c:v>Napa</c:v>
                </c:pt>
                <c:pt idx="28">
                  <c:v>Nevada</c:v>
                </c:pt>
                <c:pt idx="29">
                  <c:v>Orange</c:v>
                </c:pt>
                <c:pt idx="30">
                  <c:v>Placer</c:v>
                </c:pt>
                <c:pt idx="31">
                  <c:v>Plumas</c:v>
                </c:pt>
                <c:pt idx="32">
                  <c:v>Riverside</c:v>
                </c:pt>
                <c:pt idx="33">
                  <c:v>Sacramento</c:v>
                </c:pt>
                <c:pt idx="34">
                  <c:v>San Benito</c:v>
                </c:pt>
                <c:pt idx="35">
                  <c:v>San Bernardino</c:v>
                </c:pt>
                <c:pt idx="36">
                  <c:v>San Diego</c:v>
                </c:pt>
                <c:pt idx="37">
                  <c:v>San Francisco</c:v>
                </c:pt>
                <c:pt idx="38">
                  <c:v>San Joaquin</c:v>
                </c:pt>
                <c:pt idx="39">
                  <c:v>San Luis Obispo</c:v>
                </c:pt>
                <c:pt idx="40">
                  <c:v>San Mateo</c:v>
                </c:pt>
                <c:pt idx="41">
                  <c:v>Santa Barbara</c:v>
                </c:pt>
                <c:pt idx="42">
                  <c:v>Santa Clara</c:v>
                </c:pt>
                <c:pt idx="43">
                  <c:v>Santa Cruz</c:v>
                </c:pt>
                <c:pt idx="44">
                  <c:v>Shasta</c:v>
                </c:pt>
                <c:pt idx="45">
                  <c:v>Sierra</c:v>
                </c:pt>
                <c:pt idx="46">
                  <c:v>Siskiyou</c:v>
                </c:pt>
                <c:pt idx="47">
                  <c:v>Solano</c:v>
                </c:pt>
                <c:pt idx="48">
                  <c:v>Sonoma</c:v>
                </c:pt>
                <c:pt idx="49">
                  <c:v>Stanislaus</c:v>
                </c:pt>
                <c:pt idx="50">
                  <c:v>Sutter</c:v>
                </c:pt>
                <c:pt idx="51">
                  <c:v>Tehama</c:v>
                </c:pt>
                <c:pt idx="52">
                  <c:v>Trinity</c:v>
                </c:pt>
                <c:pt idx="53">
                  <c:v>Tulare</c:v>
                </c:pt>
                <c:pt idx="54">
                  <c:v>Tuolumne</c:v>
                </c:pt>
                <c:pt idx="55">
                  <c:v>Ventura</c:v>
                </c:pt>
                <c:pt idx="56">
                  <c:v>Yolo</c:v>
                </c:pt>
                <c:pt idx="57">
                  <c:v>Yuba</c:v>
                </c:pt>
              </c:strCache>
            </c:strRef>
          </c:cat>
          <c:val>
            <c:numRef>
              <c:f>Sheet1!$R$2:$R$59</c:f>
              <c:numCache>
                <c:formatCode>General</c:formatCode>
                <c:ptCount val="58"/>
                <c:pt idx="0">
                  <c:v>0.54545454545454541</c:v>
                </c:pt>
                <c:pt idx="1">
                  <c:v>0</c:v>
                </c:pt>
                <c:pt idx="2">
                  <c:v>9.0909090909090912E-2</c:v>
                </c:pt>
                <c:pt idx="3">
                  <c:v>17.818181818181817</c:v>
                </c:pt>
                <c:pt idx="4">
                  <c:v>9.0909090909090912E-2</c:v>
                </c:pt>
                <c:pt idx="5">
                  <c:v>1.5454545454545454</c:v>
                </c:pt>
                <c:pt idx="6">
                  <c:v>4.0909090909090908</c:v>
                </c:pt>
                <c:pt idx="7">
                  <c:v>0</c:v>
                </c:pt>
                <c:pt idx="8">
                  <c:v>0.72727272727272729</c:v>
                </c:pt>
                <c:pt idx="9">
                  <c:v>14.454545454545455</c:v>
                </c:pt>
                <c:pt idx="10">
                  <c:v>6.4545454545454541</c:v>
                </c:pt>
                <c:pt idx="11">
                  <c:v>0</c:v>
                </c:pt>
                <c:pt idx="12">
                  <c:v>0.36363636363636365</c:v>
                </c:pt>
                <c:pt idx="13">
                  <c:v>0</c:v>
                </c:pt>
                <c:pt idx="14">
                  <c:v>18.454545454545453</c:v>
                </c:pt>
                <c:pt idx="15">
                  <c:v>2.5454545454545454</c:v>
                </c:pt>
                <c:pt idx="16">
                  <c:v>0.72727272727272729</c:v>
                </c:pt>
                <c:pt idx="17">
                  <c:v>0</c:v>
                </c:pt>
                <c:pt idx="18">
                  <c:v>124.18181818181819</c:v>
                </c:pt>
                <c:pt idx="19">
                  <c:v>3</c:v>
                </c:pt>
                <c:pt idx="20">
                  <c:v>0.36363636363636365</c:v>
                </c:pt>
                <c:pt idx="21">
                  <c:v>0</c:v>
                </c:pt>
                <c:pt idx="22">
                  <c:v>0.27272727272727271</c:v>
                </c:pt>
                <c:pt idx="23">
                  <c:v>2.3636363636363638</c:v>
                </c:pt>
                <c:pt idx="24">
                  <c:v>0.18181818181818182</c:v>
                </c:pt>
                <c:pt idx="25">
                  <c:v>9.0909090909090912E-2</c:v>
                </c:pt>
                <c:pt idx="26">
                  <c:v>0.36363636363636365</c:v>
                </c:pt>
                <c:pt idx="27">
                  <c:v>0.18181818181818182</c:v>
                </c:pt>
                <c:pt idx="28">
                  <c:v>0.27272727272727271</c:v>
                </c:pt>
                <c:pt idx="29">
                  <c:v>51.272727272727273</c:v>
                </c:pt>
                <c:pt idx="30">
                  <c:v>5.1818181818181817</c:v>
                </c:pt>
                <c:pt idx="31">
                  <c:v>0</c:v>
                </c:pt>
                <c:pt idx="32">
                  <c:v>25.545454545454547</c:v>
                </c:pt>
                <c:pt idx="33">
                  <c:v>12.909090909090908</c:v>
                </c:pt>
                <c:pt idx="34">
                  <c:v>0</c:v>
                </c:pt>
                <c:pt idx="35">
                  <c:v>16.818181818181817</c:v>
                </c:pt>
                <c:pt idx="36">
                  <c:v>11.636363636363637</c:v>
                </c:pt>
                <c:pt idx="37">
                  <c:v>0.27272727272727271</c:v>
                </c:pt>
                <c:pt idx="38">
                  <c:v>7.9090909090909092</c:v>
                </c:pt>
                <c:pt idx="39">
                  <c:v>9.0909090909090912E-2</c:v>
                </c:pt>
                <c:pt idx="40">
                  <c:v>0</c:v>
                </c:pt>
                <c:pt idx="41">
                  <c:v>0.27272727272727271</c:v>
                </c:pt>
                <c:pt idx="42">
                  <c:v>2.6363636363636362</c:v>
                </c:pt>
                <c:pt idx="43">
                  <c:v>9.0909090909090912E-2</c:v>
                </c:pt>
                <c:pt idx="44">
                  <c:v>1.2727272727272727</c:v>
                </c:pt>
                <c:pt idx="45">
                  <c:v>0</c:v>
                </c:pt>
                <c:pt idx="46">
                  <c:v>0.18181818181818182</c:v>
                </c:pt>
                <c:pt idx="47">
                  <c:v>2</c:v>
                </c:pt>
                <c:pt idx="48">
                  <c:v>0</c:v>
                </c:pt>
                <c:pt idx="49">
                  <c:v>18</c:v>
                </c:pt>
                <c:pt idx="50">
                  <c:v>5.4545454545454541</c:v>
                </c:pt>
                <c:pt idx="51">
                  <c:v>3.0909090909090908</c:v>
                </c:pt>
                <c:pt idx="52">
                  <c:v>0</c:v>
                </c:pt>
                <c:pt idx="53">
                  <c:v>9.454545454545455</c:v>
                </c:pt>
                <c:pt idx="54">
                  <c:v>0</c:v>
                </c:pt>
                <c:pt idx="55">
                  <c:v>2.0909090909090908</c:v>
                </c:pt>
                <c:pt idx="56">
                  <c:v>8.545454545454545</c:v>
                </c:pt>
                <c:pt idx="57">
                  <c:v>5.0909090909090908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D8-4F0B-BE4A-E6BE69A8ACC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444"/>
        <c:overlap val="-90"/>
        <c:axId val="1211028479"/>
        <c:axId val="1211015999"/>
      </c:barChart>
      <c:catAx>
        <c:axId val="12110284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015999"/>
        <c:crosses val="autoZero"/>
        <c:auto val="1"/>
        <c:lblAlgn val="ctr"/>
        <c:lblOffset val="100"/>
        <c:noMultiLvlLbl val="0"/>
      </c:catAx>
      <c:valAx>
        <c:axId val="121101599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211028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9524</xdr:colOff>
      <xdr:row>5</xdr:row>
      <xdr:rowOff>12700</xdr:rowOff>
    </xdr:from>
    <xdr:to>
      <xdr:col>34</xdr:col>
      <xdr:colOff>0</xdr:colOff>
      <xdr:row>29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5A74FF-C726-7908-8B13-F36A0AED9F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F45D5-A34E-468E-BDC2-3F3BF75344BE}">
  <dimension ref="A1:R59"/>
  <sheetViews>
    <sheetView tabSelected="1" workbookViewId="0">
      <selection activeCell="V39" sqref="V39"/>
    </sheetView>
  </sheetViews>
  <sheetFormatPr defaultRowHeight="14.5" x14ac:dyDescent="0.35"/>
  <cols>
    <col min="1" max="1" width="25.453125" customWidth="1"/>
    <col min="17" max="17" width="25.453125" customWidth="1"/>
    <col min="18" max="18" width="14.90625" customWidth="1"/>
  </cols>
  <sheetData>
    <row r="1" spans="1:18" x14ac:dyDescent="0.35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 t="s">
        <v>58</v>
      </c>
      <c r="Q1" t="s">
        <v>0</v>
      </c>
      <c r="R1" t="s">
        <v>58</v>
      </c>
    </row>
    <row r="2" spans="1:18" x14ac:dyDescent="0.35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2</v>
      </c>
      <c r="I2">
        <v>0</v>
      </c>
      <c r="J2">
        <v>1</v>
      </c>
      <c r="K2">
        <v>0</v>
      </c>
      <c r="L2">
        <v>0</v>
      </c>
      <c r="M2">
        <f>(SUM(B2:L2)/11)</f>
        <v>0.54545454545454541</v>
      </c>
      <c r="Q2" t="s">
        <v>1</v>
      </c>
      <c r="R2">
        <f>((SUM(B2:L2)/11))</f>
        <v>0.54545454545454541</v>
      </c>
    </row>
    <row r="3" spans="1:18" x14ac:dyDescent="0.3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f t="shared" ref="M3:M60" si="0">(SUM(B3:L3)/11)</f>
        <v>0</v>
      </c>
      <c r="Q3" t="s">
        <v>2</v>
      </c>
      <c r="R3">
        <f t="shared" ref="R3:R59" si="1">((SUM(B3:L3)/11))</f>
        <v>0</v>
      </c>
    </row>
    <row r="4" spans="1:18" x14ac:dyDescent="0.35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f t="shared" si="0"/>
        <v>9.0909090909090912E-2</v>
      </c>
      <c r="Q4" t="s">
        <v>3</v>
      </c>
      <c r="R4">
        <f t="shared" si="1"/>
        <v>9.0909090909090912E-2</v>
      </c>
    </row>
    <row r="5" spans="1:18" x14ac:dyDescent="0.35">
      <c r="A5" t="s">
        <v>4</v>
      </c>
      <c r="B5">
        <v>31</v>
      </c>
      <c r="C5">
        <v>6</v>
      </c>
      <c r="D5">
        <v>21</v>
      </c>
      <c r="E5">
        <v>2</v>
      </c>
      <c r="F5">
        <v>1</v>
      </c>
      <c r="G5">
        <v>3</v>
      </c>
      <c r="H5">
        <v>10</v>
      </c>
      <c r="I5">
        <v>24</v>
      </c>
      <c r="J5">
        <v>24</v>
      </c>
      <c r="K5">
        <v>53</v>
      </c>
      <c r="L5">
        <v>21</v>
      </c>
      <c r="M5">
        <f t="shared" si="0"/>
        <v>17.818181818181817</v>
      </c>
      <c r="Q5" t="s">
        <v>4</v>
      </c>
      <c r="R5">
        <f t="shared" si="1"/>
        <v>17.818181818181817</v>
      </c>
    </row>
    <row r="6" spans="1:18" x14ac:dyDescent="0.35">
      <c r="A6" t="s">
        <v>5</v>
      </c>
      <c r="B6">
        <v>0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f t="shared" si="0"/>
        <v>9.0909090909090912E-2</v>
      </c>
      <c r="Q6" t="s">
        <v>5</v>
      </c>
      <c r="R6">
        <f t="shared" si="1"/>
        <v>9.0909090909090912E-2</v>
      </c>
    </row>
    <row r="7" spans="1:18" x14ac:dyDescent="0.35">
      <c r="A7" t="s">
        <v>6</v>
      </c>
      <c r="B7">
        <v>3</v>
      </c>
      <c r="C7">
        <v>1</v>
      </c>
      <c r="D7">
        <v>2</v>
      </c>
      <c r="E7">
        <v>0</v>
      </c>
      <c r="F7">
        <v>0</v>
      </c>
      <c r="G7">
        <v>0</v>
      </c>
      <c r="H7">
        <v>3</v>
      </c>
      <c r="I7">
        <v>2</v>
      </c>
      <c r="J7">
        <v>3</v>
      </c>
      <c r="K7">
        <v>1</v>
      </c>
      <c r="L7">
        <v>2</v>
      </c>
      <c r="M7">
        <f t="shared" si="0"/>
        <v>1.5454545454545454</v>
      </c>
      <c r="Q7" t="s">
        <v>6</v>
      </c>
      <c r="R7">
        <f t="shared" si="1"/>
        <v>1.5454545454545454</v>
      </c>
    </row>
    <row r="8" spans="1:18" x14ac:dyDescent="0.35">
      <c r="A8" t="s">
        <v>7</v>
      </c>
      <c r="B8">
        <v>8</v>
      </c>
      <c r="C8">
        <v>4</v>
      </c>
      <c r="D8">
        <v>3</v>
      </c>
      <c r="E8">
        <v>5</v>
      </c>
      <c r="F8">
        <v>4</v>
      </c>
      <c r="G8">
        <v>3</v>
      </c>
      <c r="H8">
        <v>4</v>
      </c>
      <c r="I8">
        <v>5</v>
      </c>
      <c r="J8">
        <v>5</v>
      </c>
      <c r="K8">
        <v>1</v>
      </c>
      <c r="L8">
        <v>3</v>
      </c>
      <c r="M8">
        <f t="shared" si="0"/>
        <v>4.0909090909090908</v>
      </c>
      <c r="Q8" t="s">
        <v>7</v>
      </c>
      <c r="R8">
        <f t="shared" si="1"/>
        <v>4.0909090909090908</v>
      </c>
    </row>
    <row r="9" spans="1:18" x14ac:dyDescent="0.35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f t="shared" si="0"/>
        <v>0</v>
      </c>
      <c r="Q9" t="s">
        <v>8</v>
      </c>
      <c r="R9">
        <f t="shared" si="1"/>
        <v>0</v>
      </c>
    </row>
    <row r="10" spans="1:18" x14ac:dyDescent="0.35">
      <c r="A10" t="s">
        <v>9</v>
      </c>
      <c r="B10">
        <v>2</v>
      </c>
      <c r="C10">
        <v>1</v>
      </c>
      <c r="D10">
        <v>1</v>
      </c>
      <c r="E10">
        <v>1</v>
      </c>
      <c r="F10">
        <v>0</v>
      </c>
      <c r="G10">
        <v>1</v>
      </c>
      <c r="H10">
        <v>0</v>
      </c>
      <c r="I10">
        <v>1</v>
      </c>
      <c r="J10">
        <v>0</v>
      </c>
      <c r="K10">
        <v>0</v>
      </c>
      <c r="L10">
        <v>1</v>
      </c>
      <c r="M10">
        <f t="shared" si="0"/>
        <v>0.72727272727272729</v>
      </c>
      <c r="Q10" t="s">
        <v>9</v>
      </c>
      <c r="R10">
        <f t="shared" si="1"/>
        <v>0.72727272727272729</v>
      </c>
    </row>
    <row r="11" spans="1:18" x14ac:dyDescent="0.35">
      <c r="A11" t="s">
        <v>10</v>
      </c>
      <c r="B11">
        <v>11</v>
      </c>
      <c r="C11">
        <v>3</v>
      </c>
      <c r="D11">
        <v>9</v>
      </c>
      <c r="E11">
        <v>13</v>
      </c>
      <c r="F11">
        <v>23</v>
      </c>
      <c r="G11">
        <v>9</v>
      </c>
      <c r="H11">
        <v>24</v>
      </c>
      <c r="I11">
        <v>7</v>
      </c>
      <c r="J11">
        <v>43</v>
      </c>
      <c r="K11">
        <v>8</v>
      </c>
      <c r="L11">
        <v>9</v>
      </c>
      <c r="M11">
        <f t="shared" si="0"/>
        <v>14.454545454545455</v>
      </c>
      <c r="Q11" t="s">
        <v>10</v>
      </c>
      <c r="R11">
        <f t="shared" si="1"/>
        <v>14.454545454545455</v>
      </c>
    </row>
    <row r="12" spans="1:18" x14ac:dyDescent="0.35">
      <c r="A12" t="s">
        <v>11</v>
      </c>
      <c r="B12">
        <v>12</v>
      </c>
      <c r="C12">
        <v>1</v>
      </c>
      <c r="D12">
        <v>5</v>
      </c>
      <c r="E12">
        <v>0</v>
      </c>
      <c r="F12">
        <v>2</v>
      </c>
      <c r="G12">
        <v>1</v>
      </c>
      <c r="H12">
        <v>7</v>
      </c>
      <c r="I12">
        <v>9</v>
      </c>
      <c r="J12">
        <v>10</v>
      </c>
      <c r="K12">
        <v>19</v>
      </c>
      <c r="L12">
        <v>5</v>
      </c>
      <c r="M12">
        <f t="shared" si="0"/>
        <v>6.4545454545454541</v>
      </c>
      <c r="Q12" t="s">
        <v>11</v>
      </c>
      <c r="R12">
        <f t="shared" si="1"/>
        <v>6.4545454545454541</v>
      </c>
    </row>
    <row r="13" spans="1:18" x14ac:dyDescent="0.3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f t="shared" si="0"/>
        <v>0</v>
      </c>
      <c r="Q13" t="s">
        <v>12</v>
      </c>
      <c r="R13">
        <f t="shared" si="1"/>
        <v>0</v>
      </c>
    </row>
    <row r="14" spans="1:18" x14ac:dyDescent="0.35">
      <c r="A14" t="s">
        <v>13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  <c r="J14">
        <v>1</v>
      </c>
      <c r="K14">
        <v>1</v>
      </c>
      <c r="L14">
        <v>0</v>
      </c>
      <c r="M14">
        <f t="shared" si="0"/>
        <v>0.36363636363636365</v>
      </c>
      <c r="Q14" t="s">
        <v>13</v>
      </c>
      <c r="R14">
        <f t="shared" si="1"/>
        <v>0.36363636363636365</v>
      </c>
    </row>
    <row r="15" spans="1:18" x14ac:dyDescent="0.35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f t="shared" si="0"/>
        <v>0</v>
      </c>
      <c r="Q15" t="s">
        <v>14</v>
      </c>
      <c r="R15">
        <f t="shared" si="1"/>
        <v>0</v>
      </c>
    </row>
    <row r="16" spans="1:18" x14ac:dyDescent="0.35">
      <c r="A16" t="s">
        <v>15</v>
      </c>
      <c r="B16">
        <v>49</v>
      </c>
      <c r="C16">
        <v>2</v>
      </c>
      <c r="D16">
        <v>14</v>
      </c>
      <c r="E16">
        <v>19</v>
      </c>
      <c r="F16">
        <v>15</v>
      </c>
      <c r="G16">
        <v>18</v>
      </c>
      <c r="H16">
        <v>25</v>
      </c>
      <c r="I16">
        <v>25</v>
      </c>
      <c r="J16">
        <v>11</v>
      </c>
      <c r="K16">
        <v>11</v>
      </c>
      <c r="L16">
        <v>14</v>
      </c>
      <c r="M16">
        <f t="shared" si="0"/>
        <v>18.454545454545453</v>
      </c>
      <c r="Q16" t="s">
        <v>15</v>
      </c>
      <c r="R16">
        <f t="shared" si="1"/>
        <v>18.454545454545453</v>
      </c>
    </row>
    <row r="17" spans="1:18" x14ac:dyDescent="0.35">
      <c r="A17" t="s">
        <v>16</v>
      </c>
      <c r="B17">
        <v>1</v>
      </c>
      <c r="C17">
        <v>2</v>
      </c>
      <c r="D17">
        <v>6</v>
      </c>
      <c r="E17">
        <v>3</v>
      </c>
      <c r="F17">
        <v>1</v>
      </c>
      <c r="G17">
        <v>1</v>
      </c>
      <c r="H17">
        <v>3</v>
      </c>
      <c r="I17">
        <v>1</v>
      </c>
      <c r="J17">
        <v>4</v>
      </c>
      <c r="K17">
        <v>0</v>
      </c>
      <c r="L17">
        <v>6</v>
      </c>
      <c r="M17">
        <f t="shared" si="0"/>
        <v>2.5454545454545454</v>
      </c>
      <c r="Q17" t="s">
        <v>16</v>
      </c>
      <c r="R17">
        <f t="shared" si="1"/>
        <v>2.5454545454545454</v>
      </c>
    </row>
    <row r="18" spans="1:18" x14ac:dyDescent="0.35">
      <c r="A18" t="s">
        <v>17</v>
      </c>
      <c r="B18">
        <v>2</v>
      </c>
      <c r="C18">
        <v>0</v>
      </c>
      <c r="D18">
        <v>1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2</v>
      </c>
      <c r="L18">
        <v>1</v>
      </c>
      <c r="M18">
        <f t="shared" si="0"/>
        <v>0.72727272727272729</v>
      </c>
      <c r="Q18" t="s">
        <v>17</v>
      </c>
      <c r="R18">
        <f t="shared" si="1"/>
        <v>0.72727272727272729</v>
      </c>
    </row>
    <row r="19" spans="1:18" x14ac:dyDescent="0.3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f t="shared" si="0"/>
        <v>0</v>
      </c>
      <c r="Q19" t="s">
        <v>18</v>
      </c>
      <c r="R19">
        <f t="shared" si="1"/>
        <v>0</v>
      </c>
    </row>
    <row r="20" spans="1:18" x14ac:dyDescent="0.35">
      <c r="A20" t="s">
        <v>19</v>
      </c>
      <c r="B20">
        <v>12</v>
      </c>
      <c r="C20">
        <v>156</v>
      </c>
      <c r="D20">
        <v>128</v>
      </c>
      <c r="E20">
        <v>20</v>
      </c>
      <c r="F20">
        <v>4</v>
      </c>
      <c r="G20">
        <v>58</v>
      </c>
      <c r="H20">
        <v>163</v>
      </c>
      <c r="I20">
        <v>158</v>
      </c>
      <c r="J20">
        <v>253</v>
      </c>
      <c r="K20">
        <v>286</v>
      </c>
      <c r="L20">
        <v>128</v>
      </c>
      <c r="M20">
        <f t="shared" si="0"/>
        <v>124.18181818181819</v>
      </c>
      <c r="Q20" t="s">
        <v>19</v>
      </c>
      <c r="R20">
        <f t="shared" si="1"/>
        <v>124.18181818181819</v>
      </c>
    </row>
    <row r="21" spans="1:18" x14ac:dyDescent="0.35">
      <c r="A21" t="s">
        <v>20</v>
      </c>
      <c r="B21">
        <v>0</v>
      </c>
      <c r="C21">
        <v>0</v>
      </c>
      <c r="D21">
        <v>5</v>
      </c>
      <c r="E21">
        <v>1</v>
      </c>
      <c r="F21">
        <v>7</v>
      </c>
      <c r="G21">
        <v>2</v>
      </c>
      <c r="H21">
        <v>3</v>
      </c>
      <c r="I21">
        <v>3</v>
      </c>
      <c r="J21">
        <v>3</v>
      </c>
      <c r="K21">
        <v>4</v>
      </c>
      <c r="L21">
        <v>5</v>
      </c>
      <c r="M21">
        <f t="shared" si="0"/>
        <v>3</v>
      </c>
      <c r="Q21" t="s">
        <v>20</v>
      </c>
      <c r="R21">
        <f t="shared" si="1"/>
        <v>3</v>
      </c>
    </row>
    <row r="22" spans="1:18" x14ac:dyDescent="0.35">
      <c r="A22" t="s">
        <v>21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</v>
      </c>
      <c r="J22">
        <v>0</v>
      </c>
      <c r="K22">
        <v>1</v>
      </c>
      <c r="L22">
        <v>0</v>
      </c>
      <c r="M22">
        <f t="shared" si="0"/>
        <v>0.36363636363636365</v>
      </c>
      <c r="Q22" t="s">
        <v>21</v>
      </c>
      <c r="R22">
        <f t="shared" si="1"/>
        <v>0.36363636363636365</v>
      </c>
    </row>
    <row r="23" spans="1:18" x14ac:dyDescent="0.35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f t="shared" si="0"/>
        <v>0</v>
      </c>
      <c r="Q23" t="s">
        <v>22</v>
      </c>
      <c r="R23">
        <f t="shared" si="1"/>
        <v>0</v>
      </c>
    </row>
    <row r="24" spans="1:18" x14ac:dyDescent="0.35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</v>
      </c>
      <c r="K24">
        <v>2</v>
      </c>
      <c r="L24">
        <v>0</v>
      </c>
      <c r="M24">
        <f t="shared" si="0"/>
        <v>0.27272727272727271</v>
      </c>
      <c r="Q24" t="s">
        <v>23</v>
      </c>
      <c r="R24">
        <f t="shared" si="1"/>
        <v>0.27272727272727271</v>
      </c>
    </row>
    <row r="25" spans="1:18" x14ac:dyDescent="0.35">
      <c r="A25" t="s">
        <v>24</v>
      </c>
      <c r="B25">
        <v>4</v>
      </c>
      <c r="C25">
        <v>1</v>
      </c>
      <c r="D25">
        <v>0</v>
      </c>
      <c r="E25">
        <v>4</v>
      </c>
      <c r="F25">
        <v>1</v>
      </c>
      <c r="G25">
        <v>1</v>
      </c>
      <c r="H25">
        <v>13</v>
      </c>
      <c r="I25">
        <v>0</v>
      </c>
      <c r="J25">
        <v>1</v>
      </c>
      <c r="K25">
        <v>1</v>
      </c>
      <c r="L25">
        <v>0</v>
      </c>
      <c r="M25">
        <f t="shared" si="0"/>
        <v>2.3636363636363638</v>
      </c>
      <c r="Q25" t="s">
        <v>24</v>
      </c>
      <c r="R25">
        <f t="shared" si="1"/>
        <v>2.3636363636363638</v>
      </c>
    </row>
    <row r="26" spans="1:18" x14ac:dyDescent="0.35">
      <c r="A26" t="s">
        <v>25</v>
      </c>
      <c r="B26">
        <v>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f t="shared" si="0"/>
        <v>0.18181818181818182</v>
      </c>
      <c r="Q26" t="s">
        <v>25</v>
      </c>
      <c r="R26">
        <f t="shared" si="1"/>
        <v>0.18181818181818182</v>
      </c>
    </row>
    <row r="27" spans="1:18" x14ac:dyDescent="0.35">
      <c r="A27" t="s">
        <v>26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f t="shared" si="0"/>
        <v>9.0909090909090912E-2</v>
      </c>
      <c r="Q27" t="s">
        <v>26</v>
      </c>
      <c r="R27">
        <f t="shared" si="1"/>
        <v>9.0909090909090912E-2</v>
      </c>
    </row>
    <row r="28" spans="1:18" x14ac:dyDescent="0.35">
      <c r="A28" t="s">
        <v>27</v>
      </c>
      <c r="B28">
        <v>0</v>
      </c>
      <c r="C28">
        <v>0</v>
      </c>
      <c r="D28">
        <v>1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0</v>
      </c>
      <c r="L28">
        <v>1</v>
      </c>
      <c r="M28">
        <f t="shared" si="0"/>
        <v>0.36363636363636365</v>
      </c>
      <c r="Q28" t="s">
        <v>27</v>
      </c>
      <c r="R28">
        <f t="shared" si="1"/>
        <v>0.36363636363636365</v>
      </c>
    </row>
    <row r="29" spans="1:18" x14ac:dyDescent="0.35">
      <c r="A29" t="s">
        <v>28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1</v>
      </c>
      <c r="J29">
        <v>0</v>
      </c>
      <c r="K29">
        <v>0</v>
      </c>
      <c r="L29">
        <v>0</v>
      </c>
      <c r="M29">
        <f t="shared" si="0"/>
        <v>0.18181818181818182</v>
      </c>
      <c r="Q29" t="s">
        <v>28</v>
      </c>
      <c r="R29">
        <f t="shared" si="1"/>
        <v>0.18181818181818182</v>
      </c>
    </row>
    <row r="30" spans="1:18" x14ac:dyDescent="0.35">
      <c r="A30" t="s">
        <v>29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</v>
      </c>
      <c r="L30">
        <v>0</v>
      </c>
      <c r="M30">
        <f t="shared" si="0"/>
        <v>0.27272727272727271</v>
      </c>
      <c r="Q30" t="s">
        <v>29</v>
      </c>
      <c r="R30">
        <f t="shared" si="1"/>
        <v>0.27272727272727271</v>
      </c>
    </row>
    <row r="31" spans="1:18" x14ac:dyDescent="0.35">
      <c r="A31" t="s">
        <v>30</v>
      </c>
      <c r="B31">
        <v>6</v>
      </c>
      <c r="C31">
        <v>71</v>
      </c>
      <c r="D31">
        <v>33</v>
      </c>
      <c r="E31">
        <v>4</v>
      </c>
      <c r="F31">
        <v>1</v>
      </c>
      <c r="G31">
        <v>10</v>
      </c>
      <c r="H31">
        <v>42</v>
      </c>
      <c r="I31">
        <v>9</v>
      </c>
      <c r="J31">
        <v>263</v>
      </c>
      <c r="K31">
        <v>92</v>
      </c>
      <c r="L31">
        <v>33</v>
      </c>
      <c r="M31">
        <f t="shared" si="0"/>
        <v>51.272727272727273</v>
      </c>
      <c r="Q31" t="s">
        <v>30</v>
      </c>
      <c r="R31">
        <f t="shared" si="1"/>
        <v>51.272727272727273</v>
      </c>
    </row>
    <row r="32" spans="1:18" x14ac:dyDescent="0.35">
      <c r="A32" t="s">
        <v>31</v>
      </c>
      <c r="B32">
        <v>8</v>
      </c>
      <c r="C32">
        <v>6</v>
      </c>
      <c r="D32">
        <v>7</v>
      </c>
      <c r="E32">
        <v>0</v>
      </c>
      <c r="F32">
        <v>3</v>
      </c>
      <c r="G32">
        <v>1</v>
      </c>
      <c r="H32">
        <v>12</v>
      </c>
      <c r="I32">
        <v>6</v>
      </c>
      <c r="J32">
        <v>7</v>
      </c>
      <c r="K32">
        <v>0</v>
      </c>
      <c r="L32">
        <v>7</v>
      </c>
      <c r="M32">
        <f t="shared" si="0"/>
        <v>5.1818181818181817</v>
      </c>
      <c r="Q32" t="s">
        <v>31</v>
      </c>
      <c r="R32">
        <f t="shared" si="1"/>
        <v>5.1818181818181817</v>
      </c>
    </row>
    <row r="33" spans="1:18" x14ac:dyDescent="0.35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f t="shared" si="0"/>
        <v>0</v>
      </c>
      <c r="Q33" t="s">
        <v>32</v>
      </c>
      <c r="R33">
        <f t="shared" si="1"/>
        <v>0</v>
      </c>
    </row>
    <row r="34" spans="1:18" x14ac:dyDescent="0.35">
      <c r="A34" t="s">
        <v>33</v>
      </c>
      <c r="B34">
        <v>4</v>
      </c>
      <c r="C34">
        <v>62</v>
      </c>
      <c r="D34">
        <v>5</v>
      </c>
      <c r="E34">
        <v>3</v>
      </c>
      <c r="F34">
        <v>0</v>
      </c>
      <c r="G34">
        <v>7</v>
      </c>
      <c r="H34">
        <v>19</v>
      </c>
      <c r="I34">
        <v>35</v>
      </c>
      <c r="J34">
        <v>14</v>
      </c>
      <c r="K34">
        <v>127</v>
      </c>
      <c r="L34">
        <v>5</v>
      </c>
      <c r="M34">
        <f t="shared" si="0"/>
        <v>25.545454545454547</v>
      </c>
      <c r="Q34" t="s">
        <v>33</v>
      </c>
      <c r="R34">
        <f t="shared" si="1"/>
        <v>25.545454545454547</v>
      </c>
    </row>
    <row r="35" spans="1:18" x14ac:dyDescent="0.35">
      <c r="A35" t="s">
        <v>34</v>
      </c>
      <c r="B35">
        <v>15</v>
      </c>
      <c r="C35">
        <v>13</v>
      </c>
      <c r="D35">
        <v>22</v>
      </c>
      <c r="E35">
        <v>0</v>
      </c>
      <c r="F35">
        <v>12</v>
      </c>
      <c r="G35">
        <v>4</v>
      </c>
      <c r="H35">
        <v>30</v>
      </c>
      <c r="I35">
        <v>10</v>
      </c>
      <c r="J35">
        <v>10</v>
      </c>
      <c r="K35">
        <v>4</v>
      </c>
      <c r="L35">
        <v>22</v>
      </c>
      <c r="M35">
        <f t="shared" si="0"/>
        <v>12.909090909090908</v>
      </c>
      <c r="Q35" t="s">
        <v>34</v>
      </c>
      <c r="R35">
        <f t="shared" si="1"/>
        <v>12.909090909090908</v>
      </c>
    </row>
    <row r="36" spans="1:18" x14ac:dyDescent="0.35">
      <c r="A36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f t="shared" si="0"/>
        <v>0</v>
      </c>
      <c r="Q36" t="s">
        <v>35</v>
      </c>
      <c r="R36">
        <f t="shared" si="1"/>
        <v>0</v>
      </c>
    </row>
    <row r="37" spans="1:18" x14ac:dyDescent="0.35">
      <c r="A37" t="s">
        <v>36</v>
      </c>
      <c r="B37">
        <v>3</v>
      </c>
      <c r="C37">
        <v>36</v>
      </c>
      <c r="D37">
        <v>8</v>
      </c>
      <c r="E37">
        <v>2</v>
      </c>
      <c r="F37">
        <v>5</v>
      </c>
      <c r="G37">
        <v>4</v>
      </c>
      <c r="H37">
        <v>32</v>
      </c>
      <c r="I37">
        <v>13</v>
      </c>
      <c r="J37">
        <v>21</v>
      </c>
      <c r="K37">
        <v>53</v>
      </c>
      <c r="L37">
        <v>8</v>
      </c>
      <c r="M37">
        <f t="shared" si="0"/>
        <v>16.818181818181817</v>
      </c>
      <c r="Q37" t="s">
        <v>36</v>
      </c>
      <c r="R37">
        <f t="shared" si="1"/>
        <v>16.818181818181817</v>
      </c>
    </row>
    <row r="38" spans="1:18" x14ac:dyDescent="0.35">
      <c r="A38" t="s">
        <v>37</v>
      </c>
      <c r="B38">
        <v>1</v>
      </c>
      <c r="C38">
        <v>35</v>
      </c>
      <c r="D38">
        <v>17</v>
      </c>
      <c r="E38">
        <v>4</v>
      </c>
      <c r="F38">
        <v>0</v>
      </c>
      <c r="G38">
        <v>0</v>
      </c>
      <c r="H38">
        <v>1</v>
      </c>
      <c r="I38">
        <v>0</v>
      </c>
      <c r="J38">
        <v>11</v>
      </c>
      <c r="K38">
        <v>42</v>
      </c>
      <c r="L38">
        <v>17</v>
      </c>
      <c r="M38">
        <f t="shared" si="0"/>
        <v>11.636363636363637</v>
      </c>
      <c r="Q38" t="s">
        <v>37</v>
      </c>
      <c r="R38">
        <f t="shared" si="1"/>
        <v>11.636363636363637</v>
      </c>
    </row>
    <row r="39" spans="1:18" x14ac:dyDescent="0.35">
      <c r="A39" t="s">
        <v>38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1</v>
      </c>
      <c r="I39">
        <v>1</v>
      </c>
      <c r="J39">
        <v>0</v>
      </c>
      <c r="K39">
        <v>0</v>
      </c>
      <c r="L39">
        <v>0</v>
      </c>
      <c r="M39">
        <f t="shared" si="0"/>
        <v>0.27272727272727271</v>
      </c>
      <c r="Q39" t="s">
        <v>38</v>
      </c>
      <c r="R39">
        <f t="shared" si="1"/>
        <v>0.27272727272727271</v>
      </c>
    </row>
    <row r="40" spans="1:18" x14ac:dyDescent="0.35">
      <c r="A40" t="s">
        <v>39</v>
      </c>
      <c r="B40">
        <v>8</v>
      </c>
      <c r="C40">
        <v>12</v>
      </c>
      <c r="D40">
        <v>7</v>
      </c>
      <c r="E40">
        <v>10</v>
      </c>
      <c r="F40">
        <v>6</v>
      </c>
      <c r="G40">
        <v>5</v>
      </c>
      <c r="H40">
        <v>13</v>
      </c>
      <c r="I40">
        <v>8</v>
      </c>
      <c r="J40">
        <v>9</v>
      </c>
      <c r="K40">
        <v>2</v>
      </c>
      <c r="L40">
        <v>7</v>
      </c>
      <c r="M40">
        <f t="shared" si="0"/>
        <v>7.9090909090909092</v>
      </c>
      <c r="Q40" t="s">
        <v>39</v>
      </c>
      <c r="R40">
        <f>((SUM(B40:L40)/11))</f>
        <v>7.9090909090909092</v>
      </c>
    </row>
    <row r="41" spans="1:18" x14ac:dyDescent="0.35">
      <c r="A41" t="s">
        <v>40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f t="shared" si="0"/>
        <v>9.0909090909090912E-2</v>
      </c>
      <c r="Q41" t="s">
        <v>40</v>
      </c>
      <c r="R41">
        <f t="shared" si="1"/>
        <v>9.0909090909090912E-2</v>
      </c>
    </row>
    <row r="42" spans="1:18" x14ac:dyDescent="0.35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f t="shared" si="0"/>
        <v>0</v>
      </c>
      <c r="Q42" t="s">
        <v>41</v>
      </c>
      <c r="R42">
        <f t="shared" si="1"/>
        <v>0</v>
      </c>
    </row>
    <row r="43" spans="1:18" x14ac:dyDescent="0.35">
      <c r="A43" t="s">
        <v>42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f t="shared" si="0"/>
        <v>0.27272727272727271</v>
      </c>
      <c r="Q43" t="s">
        <v>42</v>
      </c>
      <c r="R43">
        <f t="shared" si="1"/>
        <v>0.27272727272727271</v>
      </c>
    </row>
    <row r="44" spans="1:18" x14ac:dyDescent="0.35">
      <c r="A44" t="s">
        <v>43</v>
      </c>
      <c r="B44">
        <v>5</v>
      </c>
      <c r="C44">
        <v>1</v>
      </c>
      <c r="D44">
        <v>1</v>
      </c>
      <c r="E44">
        <v>0</v>
      </c>
      <c r="F44">
        <v>0</v>
      </c>
      <c r="G44">
        <v>1</v>
      </c>
      <c r="H44">
        <v>0</v>
      </c>
      <c r="I44">
        <v>2</v>
      </c>
      <c r="J44">
        <v>10</v>
      </c>
      <c r="K44">
        <v>8</v>
      </c>
      <c r="L44">
        <v>1</v>
      </c>
      <c r="M44">
        <f t="shared" si="0"/>
        <v>2.6363636363636362</v>
      </c>
      <c r="Q44" t="s">
        <v>43</v>
      </c>
      <c r="R44">
        <f t="shared" si="1"/>
        <v>2.6363636363636362</v>
      </c>
    </row>
    <row r="45" spans="1:18" x14ac:dyDescent="0.35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f t="shared" si="0"/>
        <v>9.0909090909090912E-2</v>
      </c>
      <c r="Q45" t="s">
        <v>44</v>
      </c>
      <c r="R45">
        <f t="shared" si="1"/>
        <v>9.0909090909090912E-2</v>
      </c>
    </row>
    <row r="46" spans="1:18" x14ac:dyDescent="0.35">
      <c r="A46" t="s">
        <v>45</v>
      </c>
      <c r="B46">
        <v>4</v>
      </c>
      <c r="C46">
        <v>1</v>
      </c>
      <c r="D46">
        <v>1</v>
      </c>
      <c r="E46">
        <v>0</v>
      </c>
      <c r="F46">
        <v>0</v>
      </c>
      <c r="G46">
        <v>0</v>
      </c>
      <c r="H46">
        <v>1</v>
      </c>
      <c r="I46">
        <v>1</v>
      </c>
      <c r="J46">
        <v>2</v>
      </c>
      <c r="K46">
        <v>3</v>
      </c>
      <c r="L46">
        <v>1</v>
      </c>
      <c r="M46">
        <f t="shared" si="0"/>
        <v>1.2727272727272727</v>
      </c>
      <c r="Q46" t="s">
        <v>45</v>
      </c>
      <c r="R46">
        <f t="shared" si="1"/>
        <v>1.2727272727272727</v>
      </c>
    </row>
    <row r="47" spans="1:18" x14ac:dyDescent="0.35">
      <c r="A47" t="s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f t="shared" si="0"/>
        <v>0</v>
      </c>
      <c r="Q47" t="s">
        <v>46</v>
      </c>
      <c r="R47">
        <f t="shared" si="1"/>
        <v>0</v>
      </c>
    </row>
    <row r="48" spans="1:18" x14ac:dyDescent="0.35">
      <c r="A48" t="s">
        <v>59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f t="shared" si="0"/>
        <v>0.18181818181818182</v>
      </c>
      <c r="Q48" t="s">
        <v>59</v>
      </c>
      <c r="R48">
        <f t="shared" si="1"/>
        <v>0.18181818181818182</v>
      </c>
    </row>
    <row r="49" spans="1:18" x14ac:dyDescent="0.35">
      <c r="A49" t="s">
        <v>47</v>
      </c>
      <c r="B49">
        <v>6</v>
      </c>
      <c r="C49">
        <v>1</v>
      </c>
      <c r="D49">
        <v>3</v>
      </c>
      <c r="E49">
        <v>0</v>
      </c>
      <c r="F49">
        <v>0</v>
      </c>
      <c r="G49">
        <v>0</v>
      </c>
      <c r="H49">
        <v>2</v>
      </c>
      <c r="I49">
        <v>1</v>
      </c>
      <c r="J49">
        <v>5</v>
      </c>
      <c r="K49">
        <v>1</v>
      </c>
      <c r="L49">
        <v>3</v>
      </c>
      <c r="M49">
        <f t="shared" si="0"/>
        <v>2</v>
      </c>
      <c r="Q49" t="s">
        <v>47</v>
      </c>
      <c r="R49">
        <f t="shared" si="1"/>
        <v>2</v>
      </c>
    </row>
    <row r="50" spans="1:18" x14ac:dyDescent="0.35">
      <c r="A50" t="s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f t="shared" si="0"/>
        <v>0</v>
      </c>
      <c r="Q50" t="s">
        <v>48</v>
      </c>
      <c r="R50">
        <f t="shared" si="1"/>
        <v>0</v>
      </c>
    </row>
    <row r="51" spans="1:18" x14ac:dyDescent="0.35">
      <c r="A51" t="s">
        <v>49</v>
      </c>
      <c r="B51">
        <v>11</v>
      </c>
      <c r="C51">
        <v>17</v>
      </c>
      <c r="D51">
        <v>22</v>
      </c>
      <c r="E51">
        <v>13</v>
      </c>
      <c r="F51">
        <v>12</v>
      </c>
      <c r="G51">
        <v>11</v>
      </c>
      <c r="H51">
        <v>26</v>
      </c>
      <c r="I51">
        <v>18</v>
      </c>
      <c r="J51">
        <v>33</v>
      </c>
      <c r="K51">
        <v>13</v>
      </c>
      <c r="L51">
        <v>22</v>
      </c>
      <c r="M51">
        <f t="shared" si="0"/>
        <v>18</v>
      </c>
      <c r="Q51" t="s">
        <v>49</v>
      </c>
      <c r="R51">
        <f t="shared" si="1"/>
        <v>18</v>
      </c>
    </row>
    <row r="52" spans="1:18" x14ac:dyDescent="0.35">
      <c r="A52" t="s">
        <v>50</v>
      </c>
      <c r="B52">
        <v>12</v>
      </c>
      <c r="C52">
        <v>0</v>
      </c>
      <c r="D52">
        <v>10</v>
      </c>
      <c r="E52">
        <v>0</v>
      </c>
      <c r="F52">
        <v>0</v>
      </c>
      <c r="G52">
        <v>0</v>
      </c>
      <c r="H52">
        <v>8</v>
      </c>
      <c r="I52">
        <v>10</v>
      </c>
      <c r="J52">
        <v>8</v>
      </c>
      <c r="K52">
        <v>2</v>
      </c>
      <c r="L52">
        <v>10</v>
      </c>
      <c r="M52">
        <f t="shared" si="0"/>
        <v>5.4545454545454541</v>
      </c>
      <c r="Q52" t="s">
        <v>50</v>
      </c>
      <c r="R52">
        <f t="shared" si="1"/>
        <v>5.4545454545454541</v>
      </c>
    </row>
    <row r="53" spans="1:18" x14ac:dyDescent="0.35">
      <c r="A53" t="s">
        <v>51</v>
      </c>
      <c r="B53">
        <v>3</v>
      </c>
      <c r="C53">
        <v>4</v>
      </c>
      <c r="D53">
        <v>5</v>
      </c>
      <c r="E53">
        <v>0</v>
      </c>
      <c r="F53">
        <v>0</v>
      </c>
      <c r="G53">
        <v>1</v>
      </c>
      <c r="H53">
        <v>4</v>
      </c>
      <c r="I53">
        <v>3</v>
      </c>
      <c r="J53">
        <v>4</v>
      </c>
      <c r="K53">
        <v>5</v>
      </c>
      <c r="L53">
        <v>5</v>
      </c>
      <c r="M53">
        <f t="shared" si="0"/>
        <v>3.0909090909090908</v>
      </c>
      <c r="Q53" t="s">
        <v>51</v>
      </c>
      <c r="R53">
        <f t="shared" si="1"/>
        <v>3.0909090909090908</v>
      </c>
    </row>
    <row r="54" spans="1:18" x14ac:dyDescent="0.35">
      <c r="A54" t="s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f t="shared" si="0"/>
        <v>0</v>
      </c>
      <c r="Q54" t="s">
        <v>52</v>
      </c>
      <c r="R54">
        <f t="shared" si="1"/>
        <v>0</v>
      </c>
    </row>
    <row r="55" spans="1:18" x14ac:dyDescent="0.35">
      <c r="A55" t="s">
        <v>53</v>
      </c>
      <c r="B55">
        <v>8</v>
      </c>
      <c r="C55">
        <v>5</v>
      </c>
      <c r="D55">
        <v>9</v>
      </c>
      <c r="E55">
        <v>4</v>
      </c>
      <c r="F55">
        <v>12</v>
      </c>
      <c r="G55">
        <v>11</v>
      </c>
      <c r="H55">
        <v>7</v>
      </c>
      <c r="I55">
        <v>5</v>
      </c>
      <c r="J55">
        <v>21</v>
      </c>
      <c r="K55">
        <v>13</v>
      </c>
      <c r="L55">
        <v>9</v>
      </c>
      <c r="M55">
        <f t="shared" si="0"/>
        <v>9.454545454545455</v>
      </c>
      <c r="Q55" t="s">
        <v>53</v>
      </c>
      <c r="R55">
        <f t="shared" si="1"/>
        <v>9.454545454545455</v>
      </c>
    </row>
    <row r="56" spans="1:18" x14ac:dyDescent="0.35">
      <c r="A56" t="s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f t="shared" si="0"/>
        <v>0</v>
      </c>
      <c r="Q56" t="s">
        <v>54</v>
      </c>
      <c r="R56">
        <f t="shared" si="1"/>
        <v>0</v>
      </c>
    </row>
    <row r="57" spans="1:18" x14ac:dyDescent="0.35">
      <c r="A57" t="s">
        <v>55</v>
      </c>
      <c r="B57">
        <v>3</v>
      </c>
      <c r="C57">
        <v>0</v>
      </c>
      <c r="D57">
        <v>2</v>
      </c>
      <c r="E57">
        <v>0</v>
      </c>
      <c r="F57">
        <v>0</v>
      </c>
      <c r="G57">
        <v>0</v>
      </c>
      <c r="H57">
        <v>7</v>
      </c>
      <c r="I57">
        <v>2</v>
      </c>
      <c r="J57">
        <v>1</v>
      </c>
      <c r="K57">
        <v>6</v>
      </c>
      <c r="L57">
        <v>2</v>
      </c>
      <c r="M57">
        <f t="shared" si="0"/>
        <v>2.0909090909090908</v>
      </c>
      <c r="Q57" t="s">
        <v>55</v>
      </c>
      <c r="R57">
        <f t="shared" si="1"/>
        <v>2.0909090909090908</v>
      </c>
    </row>
    <row r="58" spans="1:18" x14ac:dyDescent="0.35">
      <c r="A58" t="s">
        <v>56</v>
      </c>
      <c r="B58">
        <v>26</v>
      </c>
      <c r="C58">
        <v>1</v>
      </c>
      <c r="D58">
        <v>13</v>
      </c>
      <c r="E58">
        <v>2</v>
      </c>
      <c r="F58">
        <v>0</v>
      </c>
      <c r="G58">
        <v>0</v>
      </c>
      <c r="H58">
        <v>10</v>
      </c>
      <c r="I58">
        <v>6</v>
      </c>
      <c r="J58">
        <v>15</v>
      </c>
      <c r="K58">
        <v>8</v>
      </c>
      <c r="L58">
        <v>13</v>
      </c>
      <c r="M58">
        <f t="shared" si="0"/>
        <v>8.545454545454545</v>
      </c>
      <c r="Q58" t="s">
        <v>56</v>
      </c>
      <c r="R58">
        <f t="shared" si="1"/>
        <v>8.545454545454545</v>
      </c>
    </row>
    <row r="59" spans="1:18" x14ac:dyDescent="0.35">
      <c r="A59" t="s">
        <v>57</v>
      </c>
      <c r="B59">
        <v>5</v>
      </c>
      <c r="C59">
        <v>0</v>
      </c>
      <c r="D59">
        <v>9</v>
      </c>
      <c r="E59">
        <v>1</v>
      </c>
      <c r="F59">
        <v>0</v>
      </c>
      <c r="G59">
        <v>3</v>
      </c>
      <c r="H59">
        <v>4</v>
      </c>
      <c r="I59">
        <v>9</v>
      </c>
      <c r="J59">
        <v>6</v>
      </c>
      <c r="K59">
        <v>10</v>
      </c>
      <c r="L59">
        <v>9</v>
      </c>
      <c r="M59">
        <f t="shared" si="0"/>
        <v>5.0909090909090908</v>
      </c>
      <c r="Q59" t="s">
        <v>57</v>
      </c>
      <c r="R59">
        <f t="shared" si="1"/>
        <v>5.0909090909090908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Gutierrez</dc:creator>
  <cp:lastModifiedBy>Sebastian Gutierrez</cp:lastModifiedBy>
  <dcterms:created xsi:type="dcterms:W3CDTF">2024-11-20T06:51:53Z</dcterms:created>
  <dcterms:modified xsi:type="dcterms:W3CDTF">2024-11-20T13:37:30Z</dcterms:modified>
</cp:coreProperties>
</file>