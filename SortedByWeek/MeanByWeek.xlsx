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OneDrive\Desktop\Homework\Biostats\west_nile_2006-2016-main\SortedByWeek\"/>
    </mc:Choice>
  </mc:AlternateContent>
  <xr:revisionPtr revIDLastSave="0" documentId="13_ncr:1_{C7D19643-8ED9-418C-A74E-073EC566C930}" xr6:coauthVersionLast="47" xr6:coauthVersionMax="47" xr10:uidLastSave="{00000000-0000-0000-0000-000000000000}"/>
  <bookViews>
    <workbookView xWindow="-110" yWindow="-110" windowWidth="38620" windowHeight="21220" activeTab="3" xr2:uid="{3C67D3E9-8B14-7442-817D-276C4186C445}"/>
  </bookViews>
  <sheets>
    <sheet name="Desc Stats" sheetId="3" r:id="rId1"/>
    <sheet name="ANOVA All" sheetId="5" r:id="rId2"/>
    <sheet name="MeanByWeek" sheetId="1" r:id="rId3"/>
    <sheet name="2012" sheetId="8" r:id="rId4"/>
    <sheet name="2014" sheetId="10" r:id="rId5"/>
    <sheet name="2015" sheetId="9" r:id="rId6"/>
    <sheet name="Without Years of Concer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7" l="1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32" i="7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57" i="9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57" i="10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59" i="8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2" i="7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2" i="9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2" i="10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2" i="8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38" i="1"/>
  <c r="P39" i="1"/>
  <c r="P40" i="1"/>
  <c r="P33" i="1"/>
  <c r="P34" i="1"/>
  <c r="P35" i="1"/>
  <c r="P36" i="1"/>
  <c r="P37" i="1"/>
  <c r="P32" i="1"/>
  <c r="M51" i="1" l="1"/>
  <c r="M52" i="1"/>
  <c r="M53" i="1"/>
  <c r="M54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" i="1"/>
</calcChain>
</file>

<file path=xl/sharedStrings.xml><?xml version="1.0" encoding="utf-8"?>
<sst xmlns="http://schemas.openxmlformats.org/spreadsheetml/2006/main" count="306" uniqueCount="75">
  <si>
    <t>Week Reported</t>
  </si>
  <si>
    <t>Average Across the Years</t>
  </si>
  <si>
    <t>Jan</t>
  </si>
  <si>
    <t>First Week</t>
  </si>
  <si>
    <t>Last Week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</si>
  <si>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</si>
  <si>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</si>
  <si>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</si>
  <si>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</si>
  <si>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</si>
  <si>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</si>
  <si>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</si>
  <si>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</si>
  <si>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</si>
  <si>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</si>
  <si>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</si>
  <si>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Weeks Corresponding to Months (relatively accurate)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</si>
  <si>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</si>
  <si>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</si>
  <si>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</si>
  <si>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</si>
  <si>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</si>
  <si>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</si>
  <si>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</si>
  <si>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</si>
  <si>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</si>
  <si>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</si>
  <si>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</si>
  <si>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</si>
  <si>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</si>
  <si>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</si>
  <si>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</si>
  <si>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</si>
  <si>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</si>
  <si>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</si>
  <si>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</si>
  <si>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</si>
  <si>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</si>
  <si>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</si>
  <si>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</si>
  <si>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</si>
  <si>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</si>
  <si>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</si>
  <si>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</si>
  <si>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</si>
  <si>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</si>
  <si>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H0</t>
  </si>
  <si>
    <t>HA</t>
  </si>
  <si>
    <t>The means across the years are all the same</t>
  </si>
  <si>
    <t>The means across the years are not all the same</t>
  </si>
  <si>
    <t>α</t>
  </si>
  <si>
    <t>F &gt; Fcrit</t>
  </si>
  <si>
    <t>0.05 &gt; P Val</t>
  </si>
  <si>
    <t>Reject Null Hypothesis</t>
  </si>
  <si>
    <t>Difference</t>
  </si>
  <si>
    <t>Observations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</si>
  <si>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</si>
  <si>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</si>
  <si>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</si>
  <si>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</si>
  <si>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</si>
  <si>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</si>
  <si>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Pearson Correlation</t>
  </si>
  <si>
    <t>t-Test: Paired Two Sample for Means (2012)</t>
  </si>
  <si>
    <t>t-Test: Paired Two Sample for Means (2014)</t>
  </si>
  <si>
    <t>t-Test: Paired Two Sample for Means (2015)</t>
  </si>
  <si>
    <t>mean of all other years is the same as in 2012</t>
  </si>
  <si>
    <t>the means are not the same</t>
  </si>
  <si>
    <t>mean of all other years is the same as in 2015</t>
  </si>
  <si>
    <t>mean of all other years is the same as in 2014</t>
  </si>
  <si>
    <t>Tstat &gt; Tcrit</t>
  </si>
  <si>
    <t>meaning we reject the null</t>
  </si>
  <si>
    <t>"2012"</t>
  </si>
  <si>
    <t>"2014"</t>
  </si>
  <si>
    <t>"2015"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</si>
</sst>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</font>
    <font>
      <sz val="8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8484"/>
        <bgColor indexed="64"/>
      </patternFill>
    </fill>
    <fill>
      <patternFill patternType="solid">
        <fgColor rgb="FFF8AAF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6">
    <xf numFmtId="0" fontId="0" fillId="0" borderId="0" xfId="0"/>
    <xf numFmtId="0" fontId="18" fillId="33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/>
    <xf numFmtId="0" fontId="0" fillId="0" borderId="10" xfId="0" applyFill="1" applyBorder="1" applyAlignment="1"/>
    <xf numFmtId="0" fontId="21" fillId="0" borderId="11" xfId="0" applyFont="1" applyFill="1" applyBorder="1" applyAlignment="1">
      <alignment horizontal="center"/>
    </xf>
    <xf numFmtId="0" fontId="21" fillId="34" borderId="11" xfId="0" applyFont="1" applyFill="1" applyBorder="1" applyAlignment="1">
      <alignment horizontal="center"/>
    </xf>
    <xf numFmtId="0" fontId="0" fillId="34" borderId="0" xfId="0" applyFill="1" applyBorder="1" applyAlignment="1"/>
    <xf numFmtId="0" fontId="0" fillId="34" borderId="10" xfId="0" applyFill="1" applyBorder="1" applyAlignment="1"/>
    <xf numFmtId="0" fontId="21" fillId="33" borderId="11" xfId="0" applyFont="1" applyFill="1" applyBorder="1" applyAlignment="1">
      <alignment horizontal="center"/>
    </xf>
    <xf numFmtId="0" fontId="0" fillId="33" borderId="0" xfId="0" applyFill="1" applyBorder="1" applyAlignment="1"/>
    <xf numFmtId="0" fontId="0" fillId="33" borderId="10" xfId="0" applyFill="1" applyBorder="1" applyAlignment="1"/>
    <xf numFmtId="0" fontId="21" fillId="35" borderId="11" xfId="0" applyFont="1" applyFill="1" applyBorder="1" applyAlignment="1">
      <alignment horizontal="center"/>
    </xf>
    <xf numFmtId="0" fontId="0" fillId="35" borderId="0" xfId="0" applyFill="1" applyBorder="1" applyAlignment="1"/>
    <xf numFmtId="0" fontId="0" fillId="35" borderId="10" xfId="0" applyFill="1" applyBorder="1" applyAlignment="1"/>
    <xf numFmtId="0" fontId="21" fillId="36" borderId="11" xfId="0" applyFont="1" applyFill="1" applyBorder="1" applyAlignment="1">
      <alignment horizontal="center"/>
    </xf>
    <xf numFmtId="0" fontId="0" fillId="36" borderId="0" xfId="0" applyFill="1" applyBorder="1" applyAlignment="1"/>
    <xf numFmtId="0" fontId="0" fillId="36" borderId="10" xfId="0" applyFill="1" applyBorder="1" applyAlignment="1"/>
    <xf numFmtId="0" fontId="21" fillId="37" borderId="11" xfId="0" applyFont="1" applyFill="1" applyBorder="1" applyAlignment="1">
      <alignment horizontal="center"/>
    </xf>
    <xf numFmtId="0" fontId="0" fillId="37" borderId="0" xfId="0" applyFill="1" applyBorder="1" applyAlignment="1"/>
    <xf numFmtId="0" fontId="0" fillId="37" borderId="10" xfId="0" applyFill="1" applyBorder="1" applyAlignment="1"/>
    <xf numFmtId="0" fontId="21" fillId="38" borderId="11" xfId="0" applyFont="1" applyFill="1" applyBorder="1" applyAlignment="1">
      <alignment horizontal="center"/>
    </xf>
    <xf numFmtId="0" fontId="0" fillId="38" borderId="0" xfId="0" applyFill="1" applyBorder="1" applyAlignment="1"/>
    <xf numFmtId="0" fontId="0" fillId="38" borderId="10" xfId="0" applyFill="1" applyBorder="1" applyAlignment="1"/>
    <xf numFmtId="0" fontId="21" fillId="39" borderId="11" xfId="0" applyFont="1" applyFill="1" applyBorder="1" applyAlignment="1">
      <alignment horizontal="center"/>
    </xf>
    <xf numFmtId="0" fontId="0" fillId="39" borderId="0" xfId="0" applyFill="1" applyBorder="1" applyAlignment="1"/>
    <xf numFmtId="0" fontId="0" fillId="39" borderId="10" xfId="0" applyFill="1" applyBorder="1" applyAlignment="1"/>
    <xf numFmtId="0" fontId="21" fillId="42" borderId="11" xfId="0" applyFont="1" applyFill="1" applyBorder="1" applyAlignment="1">
      <alignment horizontal="center"/>
    </xf>
    <xf numFmtId="0" fontId="0" fillId="42" borderId="0" xfId="0" applyFill="1" applyBorder="1" applyAlignment="1"/>
    <xf numFmtId="0" fontId="0" fillId="42" borderId="10" xfId="0" applyFill="1" applyBorder="1" applyAlignment="1"/>
    <xf numFmtId="0" fontId="21" fillId="44" borderId="11" xfId="0" applyFont="1" applyFill="1" applyBorder="1" applyAlignment="1">
      <alignment horizontal="center"/>
    </xf>
    <xf numFmtId="0" fontId="0" fillId="44" borderId="0" xfId="0" applyFill="1" applyBorder="1" applyAlignment="1"/>
    <xf numFmtId="0" fontId="0" fillId="44" borderId="10" xfId="0" applyFill="1" applyBorder="1" applyAlignment="1"/>
    <xf numFmtId="0" fontId="22" fillId="41" borderId="11" xfId="0" applyFont="1" applyFill="1" applyBorder="1" applyAlignment="1">
      <alignment horizontal="center"/>
    </xf>
    <xf numFmtId="0" fontId="16" fillId="41" borderId="0" xfId="0" applyFont="1" applyFill="1" applyBorder="1" applyAlignment="1"/>
    <xf numFmtId="0" fontId="16" fillId="41" borderId="10" xfId="0" applyFont="1" applyFill="1" applyBorder="1" applyAlignment="1"/>
    <xf numFmtId="0" fontId="22" fillId="40" borderId="11" xfId="0" applyFont="1" applyFill="1" applyBorder="1" applyAlignment="1">
      <alignment horizontal="center"/>
    </xf>
    <xf numFmtId="0" fontId="16" fillId="40" borderId="0" xfId="0" applyFont="1" applyFill="1" applyBorder="1" applyAlignment="1"/>
    <xf numFmtId="0" fontId="16" fillId="40" borderId="10" xfId="0" applyFont="1" applyFill="1" applyBorder="1" applyAlignment="1"/>
    <xf numFmtId="0" fontId="22" fillId="43" borderId="11" xfId="0" applyFont="1" applyFill="1" applyBorder="1" applyAlignment="1">
      <alignment horizontal="center"/>
    </xf>
    <xf numFmtId="0" fontId="16" fillId="43" borderId="0" xfId="0" applyFont="1" applyFill="1" applyBorder="1" applyAlignment="1"/>
    <xf numFmtId="0" fontId="16" fillId="43" borderId="10" xfId="0" applyFont="1" applyFill="1" applyBorder="1" applyAlignment="1"/>
    <xf numFmtId="0" fontId="19" fillId="0" borderId="0" xfId="0" applyFont="1"/>
    <xf numFmtId="0" fontId="16" fillId="0" borderId="0" xfId="0" applyFont="1"/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BE0B"/>
      <color rgb="FFFF006E"/>
      <color rgb="FF8338EC"/>
      <color rgb="FF3A86FF"/>
      <color rgb="FFFFFF99"/>
      <color rgb="FFFFCC99"/>
      <color rgb="FFFFFFCC"/>
      <color rgb="FFF8AAF8"/>
      <color rgb="FFF484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West Nile Cases</a:t>
            </a:r>
            <a:r>
              <a:rPr lang="en-US" baseline="0"/>
              <a:t> From 2006 to 2016 by Week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MeanByWeek!$B$1</c:f>
              <c:strCache>
                <c:ptCount val="1"/>
                <c:pt idx="0">
                  <c:v>2006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MeanByWeek!$A$2:$A$54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MeanByWeek!$B$2:$B$54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</c:v>
                </c:pt>
                <c:pt idx="29">
                  <c:v>11</c:v>
                </c:pt>
                <c:pt idx="30">
                  <c:v>4</c:v>
                </c:pt>
                <c:pt idx="31">
                  <c:v>18</c:v>
                </c:pt>
                <c:pt idx="32">
                  <c:v>30</c:v>
                </c:pt>
                <c:pt idx="33">
                  <c:v>28</c:v>
                </c:pt>
                <c:pt idx="34">
                  <c:v>42</c:v>
                </c:pt>
                <c:pt idx="35">
                  <c:v>20</c:v>
                </c:pt>
                <c:pt idx="36">
                  <c:v>38</c:v>
                </c:pt>
                <c:pt idx="37">
                  <c:v>18</c:v>
                </c:pt>
                <c:pt idx="38">
                  <c:v>22</c:v>
                </c:pt>
                <c:pt idx="39">
                  <c:v>5</c:v>
                </c:pt>
                <c:pt idx="40">
                  <c:v>11</c:v>
                </c:pt>
                <c:pt idx="41">
                  <c:v>4</c:v>
                </c:pt>
                <c:pt idx="42">
                  <c:v>6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BE-4C47-9870-545A6FA6CC9F}"/>
            </c:ext>
          </c:extLst>
        </c:ser>
        <c:ser>
          <c:idx val="1"/>
          <c:order val="1"/>
          <c:tx>
            <c:strRef>
              <c:f>MeanByWeek!$C$1</c:f>
              <c:strCache>
                <c:ptCount val="1"/>
                <c:pt idx="0">
                  <c:v>2007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MeanByWeek!$A$2:$A$54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MeanByWeek!$C$2:$C$54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2</c:v>
                </c:pt>
                <c:pt idx="27">
                  <c:v>6</c:v>
                </c:pt>
                <c:pt idx="28">
                  <c:v>18</c:v>
                </c:pt>
                <c:pt idx="29">
                  <c:v>15</c:v>
                </c:pt>
                <c:pt idx="30">
                  <c:v>22</c:v>
                </c:pt>
                <c:pt idx="31">
                  <c:v>22</c:v>
                </c:pt>
                <c:pt idx="32">
                  <c:v>34</c:v>
                </c:pt>
                <c:pt idx="33">
                  <c:v>27</c:v>
                </c:pt>
                <c:pt idx="34">
                  <c:v>25</c:v>
                </c:pt>
                <c:pt idx="35">
                  <c:v>26</c:v>
                </c:pt>
                <c:pt idx="36">
                  <c:v>33</c:v>
                </c:pt>
                <c:pt idx="37">
                  <c:v>25</c:v>
                </c:pt>
                <c:pt idx="38">
                  <c:v>34</c:v>
                </c:pt>
                <c:pt idx="39">
                  <c:v>32</c:v>
                </c:pt>
                <c:pt idx="40">
                  <c:v>21</c:v>
                </c:pt>
                <c:pt idx="41">
                  <c:v>10</c:v>
                </c:pt>
                <c:pt idx="42">
                  <c:v>7</c:v>
                </c:pt>
                <c:pt idx="43">
                  <c:v>7</c:v>
                </c:pt>
                <c:pt idx="44">
                  <c:v>4</c:v>
                </c:pt>
                <c:pt idx="45">
                  <c:v>3</c:v>
                </c:pt>
                <c:pt idx="46">
                  <c:v>0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BE-4C47-9870-545A6FA6CC9F}"/>
            </c:ext>
          </c:extLst>
        </c:ser>
        <c:ser>
          <c:idx val="2"/>
          <c:order val="2"/>
          <c:tx>
            <c:strRef>
              <c:f>MeanByWeek!$D$1</c:f>
              <c:strCache>
                <c:ptCount val="1"/>
                <c:pt idx="0">
                  <c:v>2008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MeanByWeek!$A$2:$A$54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MeanByWeek!$D$2:$D$54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2</c:v>
                </c:pt>
                <c:pt idx="27">
                  <c:v>0</c:v>
                </c:pt>
                <c:pt idx="28">
                  <c:v>3</c:v>
                </c:pt>
                <c:pt idx="29">
                  <c:v>6</c:v>
                </c:pt>
                <c:pt idx="30">
                  <c:v>16</c:v>
                </c:pt>
                <c:pt idx="31">
                  <c:v>26</c:v>
                </c:pt>
                <c:pt idx="32">
                  <c:v>19</c:v>
                </c:pt>
                <c:pt idx="33">
                  <c:v>19</c:v>
                </c:pt>
                <c:pt idx="34">
                  <c:v>34</c:v>
                </c:pt>
                <c:pt idx="35">
                  <c:v>30</c:v>
                </c:pt>
                <c:pt idx="36">
                  <c:v>37</c:v>
                </c:pt>
                <c:pt idx="37">
                  <c:v>38</c:v>
                </c:pt>
                <c:pt idx="38">
                  <c:v>38</c:v>
                </c:pt>
                <c:pt idx="39">
                  <c:v>23</c:v>
                </c:pt>
                <c:pt idx="40">
                  <c:v>34</c:v>
                </c:pt>
                <c:pt idx="41">
                  <c:v>2</c:v>
                </c:pt>
                <c:pt idx="42">
                  <c:v>14</c:v>
                </c:pt>
                <c:pt idx="43">
                  <c:v>10</c:v>
                </c:pt>
                <c:pt idx="44">
                  <c:v>25</c:v>
                </c:pt>
                <c:pt idx="45">
                  <c:v>12</c:v>
                </c:pt>
                <c:pt idx="46">
                  <c:v>7</c:v>
                </c:pt>
                <c:pt idx="47">
                  <c:v>1</c:v>
                </c:pt>
                <c:pt idx="48">
                  <c:v>10</c:v>
                </c:pt>
                <c:pt idx="49">
                  <c:v>4</c:v>
                </c:pt>
                <c:pt idx="50">
                  <c:v>5</c:v>
                </c:pt>
                <c:pt idx="51">
                  <c:v>0</c:v>
                </c:pt>
                <c:pt idx="5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BE-4C47-9870-545A6FA6CC9F}"/>
            </c:ext>
          </c:extLst>
        </c:ser>
        <c:ser>
          <c:idx val="3"/>
          <c:order val="3"/>
          <c:tx>
            <c:strRef>
              <c:f>MeanByWeek!$E$1</c:f>
              <c:strCache>
                <c:ptCount val="1"/>
                <c:pt idx="0">
                  <c:v>2009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MeanByWeek!$A$2:$A$54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MeanByWeek!$E$2:$E$54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3</c:v>
                </c:pt>
                <c:pt idx="31">
                  <c:v>5</c:v>
                </c:pt>
                <c:pt idx="32">
                  <c:v>0</c:v>
                </c:pt>
                <c:pt idx="33">
                  <c:v>9</c:v>
                </c:pt>
                <c:pt idx="34">
                  <c:v>7</c:v>
                </c:pt>
                <c:pt idx="35">
                  <c:v>8</c:v>
                </c:pt>
                <c:pt idx="36">
                  <c:v>13</c:v>
                </c:pt>
                <c:pt idx="37">
                  <c:v>12</c:v>
                </c:pt>
                <c:pt idx="38">
                  <c:v>9</c:v>
                </c:pt>
                <c:pt idx="39">
                  <c:v>9</c:v>
                </c:pt>
                <c:pt idx="40">
                  <c:v>6</c:v>
                </c:pt>
                <c:pt idx="41">
                  <c:v>9</c:v>
                </c:pt>
                <c:pt idx="42">
                  <c:v>5</c:v>
                </c:pt>
                <c:pt idx="43">
                  <c:v>3</c:v>
                </c:pt>
                <c:pt idx="44">
                  <c:v>2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5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BE-4C47-9870-545A6FA6CC9F}"/>
            </c:ext>
          </c:extLst>
        </c:ser>
        <c:ser>
          <c:idx val="4"/>
          <c:order val="4"/>
          <c:tx>
            <c:strRef>
              <c:f>MeanByWeek!$F$1</c:f>
              <c:strCache>
                <c:ptCount val="1"/>
                <c:pt idx="0">
                  <c:v>2010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MeanByWeek!$A$2:$A$54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MeanByWeek!$F$2:$F$54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6</c:v>
                </c:pt>
                <c:pt idx="31">
                  <c:v>4</c:v>
                </c:pt>
                <c:pt idx="32">
                  <c:v>6</c:v>
                </c:pt>
                <c:pt idx="33">
                  <c:v>5</c:v>
                </c:pt>
                <c:pt idx="34">
                  <c:v>7</c:v>
                </c:pt>
                <c:pt idx="35">
                  <c:v>3</c:v>
                </c:pt>
                <c:pt idx="36">
                  <c:v>7</c:v>
                </c:pt>
                <c:pt idx="37">
                  <c:v>7</c:v>
                </c:pt>
                <c:pt idx="38">
                  <c:v>10</c:v>
                </c:pt>
                <c:pt idx="39">
                  <c:v>5</c:v>
                </c:pt>
                <c:pt idx="40">
                  <c:v>2</c:v>
                </c:pt>
                <c:pt idx="41">
                  <c:v>14</c:v>
                </c:pt>
                <c:pt idx="42">
                  <c:v>11</c:v>
                </c:pt>
                <c:pt idx="43">
                  <c:v>3</c:v>
                </c:pt>
                <c:pt idx="44">
                  <c:v>1</c:v>
                </c:pt>
                <c:pt idx="45">
                  <c:v>0</c:v>
                </c:pt>
                <c:pt idx="46">
                  <c:v>2</c:v>
                </c:pt>
                <c:pt idx="47">
                  <c:v>3</c:v>
                </c:pt>
                <c:pt idx="48">
                  <c:v>2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BE-4C47-9870-545A6FA6CC9F}"/>
            </c:ext>
          </c:extLst>
        </c:ser>
        <c:ser>
          <c:idx val="5"/>
          <c:order val="5"/>
          <c:tx>
            <c:strRef>
              <c:f>MeanByWeek!$G$1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MeanByWeek!$A$2:$A$54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MeanByWeek!$G$2:$G$54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6</c:v>
                </c:pt>
                <c:pt idx="31">
                  <c:v>3</c:v>
                </c:pt>
                <c:pt idx="32">
                  <c:v>2</c:v>
                </c:pt>
                <c:pt idx="33">
                  <c:v>7</c:v>
                </c:pt>
                <c:pt idx="34">
                  <c:v>8</c:v>
                </c:pt>
                <c:pt idx="35">
                  <c:v>6</c:v>
                </c:pt>
                <c:pt idx="36">
                  <c:v>15</c:v>
                </c:pt>
                <c:pt idx="37">
                  <c:v>19</c:v>
                </c:pt>
                <c:pt idx="38">
                  <c:v>20</c:v>
                </c:pt>
                <c:pt idx="39">
                  <c:v>17</c:v>
                </c:pt>
                <c:pt idx="40">
                  <c:v>9</c:v>
                </c:pt>
                <c:pt idx="41">
                  <c:v>9</c:v>
                </c:pt>
                <c:pt idx="42">
                  <c:v>7</c:v>
                </c:pt>
                <c:pt idx="43">
                  <c:v>11</c:v>
                </c:pt>
                <c:pt idx="44">
                  <c:v>5</c:v>
                </c:pt>
                <c:pt idx="45">
                  <c:v>5</c:v>
                </c:pt>
                <c:pt idx="46">
                  <c:v>1</c:v>
                </c:pt>
                <c:pt idx="47">
                  <c:v>3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3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BE-4C47-9870-545A6FA6CC9F}"/>
            </c:ext>
          </c:extLst>
        </c:ser>
        <c:ser>
          <c:idx val="6"/>
          <c:order val="6"/>
          <c:tx>
            <c:strRef>
              <c:f>MeanByWeek!$H$1</c:f>
              <c:strCache>
                <c:ptCount val="1"/>
                <c:pt idx="0">
                  <c:v>2012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MeanByWeek!$A$2:$A$54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MeanByWeek!$H$2:$H$54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2</c:v>
                </c:pt>
                <c:pt idx="28">
                  <c:v>3</c:v>
                </c:pt>
                <c:pt idx="29">
                  <c:v>1</c:v>
                </c:pt>
                <c:pt idx="30">
                  <c:v>4</c:v>
                </c:pt>
                <c:pt idx="31">
                  <c:v>7</c:v>
                </c:pt>
                <c:pt idx="32">
                  <c:v>8</c:v>
                </c:pt>
                <c:pt idx="33">
                  <c:v>15</c:v>
                </c:pt>
                <c:pt idx="34">
                  <c:v>15</c:v>
                </c:pt>
                <c:pt idx="35">
                  <c:v>19</c:v>
                </c:pt>
                <c:pt idx="36">
                  <c:v>39</c:v>
                </c:pt>
                <c:pt idx="37">
                  <c:v>32</c:v>
                </c:pt>
                <c:pt idx="38">
                  <c:v>34</c:v>
                </c:pt>
                <c:pt idx="39">
                  <c:v>48</c:v>
                </c:pt>
                <c:pt idx="40">
                  <c:v>35</c:v>
                </c:pt>
                <c:pt idx="41">
                  <c:v>35</c:v>
                </c:pt>
                <c:pt idx="42">
                  <c:v>38</c:v>
                </c:pt>
                <c:pt idx="43">
                  <c:v>38</c:v>
                </c:pt>
                <c:pt idx="44">
                  <c:v>22</c:v>
                </c:pt>
                <c:pt idx="45">
                  <c:v>18</c:v>
                </c:pt>
                <c:pt idx="46">
                  <c:v>7</c:v>
                </c:pt>
                <c:pt idx="47">
                  <c:v>10</c:v>
                </c:pt>
                <c:pt idx="48">
                  <c:v>12</c:v>
                </c:pt>
                <c:pt idx="49">
                  <c:v>8</c:v>
                </c:pt>
                <c:pt idx="50">
                  <c:v>12</c:v>
                </c:pt>
                <c:pt idx="51">
                  <c:v>13</c:v>
                </c:pt>
                <c:pt idx="5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BE-4C47-9870-545A6FA6CC9F}"/>
            </c:ext>
          </c:extLst>
        </c:ser>
        <c:ser>
          <c:idx val="7"/>
          <c:order val="7"/>
          <c:tx>
            <c:strRef>
              <c:f>MeanByWeek!$I$1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MeanByWeek!$A$2:$A$54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MeanByWeek!$I$2:$I$54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</c:v>
                </c:pt>
                <c:pt idx="30">
                  <c:v>10</c:v>
                </c:pt>
                <c:pt idx="31">
                  <c:v>4</c:v>
                </c:pt>
                <c:pt idx="32">
                  <c:v>19</c:v>
                </c:pt>
                <c:pt idx="33">
                  <c:v>22</c:v>
                </c:pt>
                <c:pt idx="34">
                  <c:v>27</c:v>
                </c:pt>
                <c:pt idx="35">
                  <c:v>15</c:v>
                </c:pt>
                <c:pt idx="36">
                  <c:v>16</c:v>
                </c:pt>
                <c:pt idx="37">
                  <c:v>33</c:v>
                </c:pt>
                <c:pt idx="38">
                  <c:v>26</c:v>
                </c:pt>
                <c:pt idx="39">
                  <c:v>29</c:v>
                </c:pt>
                <c:pt idx="40">
                  <c:v>31</c:v>
                </c:pt>
                <c:pt idx="41">
                  <c:v>36</c:v>
                </c:pt>
                <c:pt idx="42">
                  <c:v>25</c:v>
                </c:pt>
                <c:pt idx="43">
                  <c:v>22</c:v>
                </c:pt>
                <c:pt idx="44">
                  <c:v>20</c:v>
                </c:pt>
                <c:pt idx="45">
                  <c:v>10</c:v>
                </c:pt>
                <c:pt idx="46">
                  <c:v>7</c:v>
                </c:pt>
                <c:pt idx="47">
                  <c:v>4</c:v>
                </c:pt>
                <c:pt idx="48">
                  <c:v>3</c:v>
                </c:pt>
                <c:pt idx="49">
                  <c:v>3</c:v>
                </c:pt>
                <c:pt idx="50">
                  <c:v>9</c:v>
                </c:pt>
                <c:pt idx="51">
                  <c:v>0</c:v>
                </c:pt>
                <c:pt idx="5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BE-4C47-9870-545A6FA6CC9F}"/>
            </c:ext>
          </c:extLst>
        </c:ser>
        <c:ser>
          <c:idx val="8"/>
          <c:order val="8"/>
          <c:tx>
            <c:strRef>
              <c:f>MeanByWeek!$J$1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MeanByWeek!$A$2:$A$54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MeanByWeek!$J$2:$J$54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5</c:v>
                </c:pt>
                <c:pt idx="28">
                  <c:v>3</c:v>
                </c:pt>
                <c:pt idx="29">
                  <c:v>5</c:v>
                </c:pt>
                <c:pt idx="30">
                  <c:v>18</c:v>
                </c:pt>
                <c:pt idx="31">
                  <c:v>18</c:v>
                </c:pt>
                <c:pt idx="32">
                  <c:v>38</c:v>
                </c:pt>
                <c:pt idx="33">
                  <c:v>33</c:v>
                </c:pt>
                <c:pt idx="34">
                  <c:v>53</c:v>
                </c:pt>
                <c:pt idx="35">
                  <c:v>53</c:v>
                </c:pt>
                <c:pt idx="36">
                  <c:v>71</c:v>
                </c:pt>
                <c:pt idx="37">
                  <c:v>64</c:v>
                </c:pt>
                <c:pt idx="38">
                  <c:v>56</c:v>
                </c:pt>
                <c:pt idx="39">
                  <c:v>55</c:v>
                </c:pt>
                <c:pt idx="40">
                  <c:v>74</c:v>
                </c:pt>
                <c:pt idx="41">
                  <c:v>46</c:v>
                </c:pt>
                <c:pt idx="42">
                  <c:v>45</c:v>
                </c:pt>
                <c:pt idx="43">
                  <c:v>52</c:v>
                </c:pt>
                <c:pt idx="44">
                  <c:v>28</c:v>
                </c:pt>
                <c:pt idx="45">
                  <c:v>16</c:v>
                </c:pt>
                <c:pt idx="46">
                  <c:v>9</c:v>
                </c:pt>
                <c:pt idx="47">
                  <c:v>7</c:v>
                </c:pt>
                <c:pt idx="48">
                  <c:v>22</c:v>
                </c:pt>
                <c:pt idx="49">
                  <c:v>4</c:v>
                </c:pt>
                <c:pt idx="50">
                  <c:v>2</c:v>
                </c:pt>
                <c:pt idx="51">
                  <c:v>19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BE-4C47-9870-545A6FA6CC9F}"/>
            </c:ext>
          </c:extLst>
        </c:ser>
        <c:ser>
          <c:idx val="9"/>
          <c:order val="9"/>
          <c:tx>
            <c:strRef>
              <c:f>MeanByWeek!$K$1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MeanByWeek!$A$2:$A$54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MeanByWeek!$K$2:$K$54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9</c:v>
                </c:pt>
                <c:pt idx="30">
                  <c:v>12</c:v>
                </c:pt>
                <c:pt idx="31">
                  <c:v>24</c:v>
                </c:pt>
                <c:pt idx="32">
                  <c:v>31</c:v>
                </c:pt>
                <c:pt idx="33">
                  <c:v>20</c:v>
                </c:pt>
                <c:pt idx="34">
                  <c:v>19</c:v>
                </c:pt>
                <c:pt idx="35">
                  <c:v>31</c:v>
                </c:pt>
                <c:pt idx="36">
                  <c:v>34</c:v>
                </c:pt>
                <c:pt idx="37">
                  <c:v>52</c:v>
                </c:pt>
                <c:pt idx="38">
                  <c:v>67</c:v>
                </c:pt>
                <c:pt idx="39">
                  <c:v>60</c:v>
                </c:pt>
                <c:pt idx="40">
                  <c:v>45</c:v>
                </c:pt>
                <c:pt idx="41">
                  <c:v>51</c:v>
                </c:pt>
                <c:pt idx="42">
                  <c:v>52</c:v>
                </c:pt>
                <c:pt idx="43">
                  <c:v>40</c:v>
                </c:pt>
                <c:pt idx="44">
                  <c:v>39</c:v>
                </c:pt>
                <c:pt idx="45">
                  <c:v>36</c:v>
                </c:pt>
                <c:pt idx="46">
                  <c:v>14</c:v>
                </c:pt>
                <c:pt idx="47">
                  <c:v>38</c:v>
                </c:pt>
                <c:pt idx="48">
                  <c:v>27</c:v>
                </c:pt>
                <c:pt idx="49">
                  <c:v>28</c:v>
                </c:pt>
                <c:pt idx="50">
                  <c:v>4</c:v>
                </c:pt>
                <c:pt idx="51">
                  <c:v>48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BE-4C47-9870-545A6FA6CC9F}"/>
            </c:ext>
          </c:extLst>
        </c:ser>
        <c:ser>
          <c:idx val="10"/>
          <c:order val="10"/>
          <c:tx>
            <c:strRef>
              <c:f>MeanByWeek!$L$1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MeanByWeek!$A$2:$A$54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MeanByWeek!$L$2:$L$54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</c:v>
                </c:pt>
                <c:pt idx="30">
                  <c:v>7</c:v>
                </c:pt>
                <c:pt idx="31">
                  <c:v>12</c:v>
                </c:pt>
                <c:pt idx="32">
                  <c:v>24</c:v>
                </c:pt>
                <c:pt idx="33">
                  <c:v>31</c:v>
                </c:pt>
                <c:pt idx="34">
                  <c:v>46</c:v>
                </c:pt>
                <c:pt idx="35">
                  <c:v>32</c:v>
                </c:pt>
                <c:pt idx="36">
                  <c:v>44</c:v>
                </c:pt>
                <c:pt idx="37">
                  <c:v>35</c:v>
                </c:pt>
                <c:pt idx="38">
                  <c:v>42</c:v>
                </c:pt>
                <c:pt idx="39">
                  <c:v>34</c:v>
                </c:pt>
                <c:pt idx="40">
                  <c:v>17</c:v>
                </c:pt>
                <c:pt idx="41">
                  <c:v>20</c:v>
                </c:pt>
                <c:pt idx="42">
                  <c:v>23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BE-4C47-9870-545A6FA6C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3027983"/>
        <c:axId val="983028943"/>
      </c:lineChart>
      <c:catAx>
        <c:axId val="98302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028943"/>
        <c:crosses val="autoZero"/>
        <c:auto val="1"/>
        <c:lblAlgn val="ctr"/>
        <c:lblOffset val="100"/>
        <c:noMultiLvlLbl val="0"/>
      </c:catAx>
      <c:valAx>
        <c:axId val="98302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Positive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02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Distribution</a:t>
            </a:r>
            <a:r>
              <a:rPr lang="en-US" baseline="0"/>
              <a:t> Throughout the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MeanByWeek!$P$31</c:f>
              <c:strCache>
                <c:ptCount val="1"/>
                <c:pt idx="0">
                  <c:v>Average Across the Years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MeanByWeek!$O$32:$O$84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MeanByWeek!$P$32:$P$84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9.0909090909090912E-2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9.0909090909090912E-2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0.45454545454545453</c:v>
                </c:pt>
                <c:pt idx="25">
                  <c:v>9.0909090909090912E-2</c:v>
                </c:pt>
                <c:pt idx="26">
                  <c:v>0.63636363636363635</c:v>
                </c:pt>
                <c:pt idx="27">
                  <c:v>1.3636363636363635</c:v>
                </c:pt>
                <c:pt idx="28">
                  <c:v>3.2727272727272729</c:v>
                </c:pt>
                <c:pt idx="29">
                  <c:v>5.1818181818181817</c:v>
                </c:pt>
                <c:pt idx="30">
                  <c:v>9.8181818181818183</c:v>
                </c:pt>
                <c:pt idx="31">
                  <c:v>13</c:v>
                </c:pt>
                <c:pt idx="32">
                  <c:v>19.181818181818183</c:v>
                </c:pt>
                <c:pt idx="33">
                  <c:v>19.636363636363637</c:v>
                </c:pt>
                <c:pt idx="34">
                  <c:v>25.727272727272727</c:v>
                </c:pt>
                <c:pt idx="35">
                  <c:v>22.09090909090909</c:v>
                </c:pt>
                <c:pt idx="36">
                  <c:v>31.545454545454547</c:v>
                </c:pt>
                <c:pt idx="37">
                  <c:v>30.454545454545453</c:v>
                </c:pt>
                <c:pt idx="38">
                  <c:v>32.545454545454547</c:v>
                </c:pt>
                <c:pt idx="39">
                  <c:v>28.818181818181817</c:v>
                </c:pt>
                <c:pt idx="40">
                  <c:v>25.90909090909091</c:v>
                </c:pt>
                <c:pt idx="41">
                  <c:v>21.454545454545453</c:v>
                </c:pt>
                <c:pt idx="42">
                  <c:v>21.181818181818183</c:v>
                </c:pt>
                <c:pt idx="43">
                  <c:v>17.181818181818183</c:v>
                </c:pt>
                <c:pt idx="44">
                  <c:v>13.545454545454545</c:v>
                </c:pt>
                <c:pt idx="45">
                  <c:v>9.454545454545455</c:v>
                </c:pt>
                <c:pt idx="46">
                  <c:v>4.2727272727272725</c:v>
                </c:pt>
                <c:pt idx="47">
                  <c:v>6.3636363636363633</c:v>
                </c:pt>
                <c:pt idx="48">
                  <c:v>7.1818181818181817</c:v>
                </c:pt>
                <c:pt idx="49">
                  <c:v>4.5454545454545459</c:v>
                </c:pt>
                <c:pt idx="50">
                  <c:v>3</c:v>
                </c:pt>
                <c:pt idx="51">
                  <c:v>8.0909090909090917</c:v>
                </c:pt>
                <c:pt idx="52">
                  <c:v>3.7272727272727271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3-4B12-AE99-9DDDF99D7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029583"/>
        <c:axId val="1193038223"/>
      </c:barChart>
      <c:catAx>
        <c:axId val="1193029583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038223"/>
        <c:crosses val="autoZero"/>
        <c:auto val="1"/>
        <c:lblAlgn val="ctr"/>
        <c:lblOffset val="100"/>
        <c:noMultiLvlLbl val="0"/>
      </c:catAx>
      <c:valAx>
        <c:axId val="119303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Num of Positive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02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'2012'!$G$58</c:f>
              <c:strCache>
                <c:ptCount val="1"/>
                <c:pt idx="0">
                  <c:v>Average Across the Years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'2012'!$F$59:$F$111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'2012'!$G$59:$G$111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0.4</c:v>
                </c:pt>
                <c:pt idx="25">
                  <c:v>0.1</c:v>
                </c:pt>
                <c:pt idx="26">
                  <c:v>0.7</c:v>
                </c:pt>
                <c:pt idx="27">
                  <c:v>1.3</c:v>
                </c:pt>
                <c:pt idx="28">
                  <c:v>3.3</c:v>
                </c:pt>
                <c:pt idx="29">
                  <c:v>5.6</c:v>
                </c:pt>
                <c:pt idx="30">
                  <c:v>10.4</c:v>
                </c:pt>
                <c:pt idx="31">
                  <c:v>13.6</c:v>
                </c:pt>
                <c:pt idx="32">
                  <c:v>20.3</c:v>
                </c:pt>
                <c:pt idx="33">
                  <c:v>20.100000000000001</c:v>
                </c:pt>
                <c:pt idx="34">
                  <c:v>26.8</c:v>
                </c:pt>
                <c:pt idx="35">
                  <c:v>22.4</c:v>
                </c:pt>
                <c:pt idx="36">
                  <c:v>30.8</c:v>
                </c:pt>
                <c:pt idx="37">
                  <c:v>30.3</c:v>
                </c:pt>
                <c:pt idx="38">
                  <c:v>32.4</c:v>
                </c:pt>
                <c:pt idx="39">
                  <c:v>26.9</c:v>
                </c:pt>
                <c:pt idx="40">
                  <c:v>25</c:v>
                </c:pt>
                <c:pt idx="41">
                  <c:v>20.100000000000001</c:v>
                </c:pt>
                <c:pt idx="42">
                  <c:v>19.5</c:v>
                </c:pt>
                <c:pt idx="43">
                  <c:v>15.1</c:v>
                </c:pt>
                <c:pt idx="44">
                  <c:v>12.7</c:v>
                </c:pt>
                <c:pt idx="45">
                  <c:v>8.6</c:v>
                </c:pt>
                <c:pt idx="46">
                  <c:v>4</c:v>
                </c:pt>
                <c:pt idx="47">
                  <c:v>6</c:v>
                </c:pt>
                <c:pt idx="48">
                  <c:v>6.7</c:v>
                </c:pt>
                <c:pt idx="49">
                  <c:v>4.2</c:v>
                </c:pt>
                <c:pt idx="50">
                  <c:v>2.1</c:v>
                </c:pt>
                <c:pt idx="51">
                  <c:v>7.6</c:v>
                </c:pt>
                <c:pt idx="52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8-4A81-A5B0-347D304F12E6}"/>
            </c:ext>
          </c:extLst>
        </c:ser>
        <c:ser>
          <c:idx val="1"/>
          <c:order val="1"/>
          <c:tx>
            <c:strRef>
              <c:f>'2012'!$H$58</c:f>
              <c:strCache>
                <c:ptCount val="1"/>
                <c:pt idx="0">
                  <c:v>"2012"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'2012'!$F$59:$F$111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'2012'!$H$59:$H$111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2</c:v>
                </c:pt>
                <c:pt idx="28">
                  <c:v>3</c:v>
                </c:pt>
                <c:pt idx="29">
                  <c:v>1</c:v>
                </c:pt>
                <c:pt idx="30">
                  <c:v>4</c:v>
                </c:pt>
                <c:pt idx="31">
                  <c:v>7</c:v>
                </c:pt>
                <c:pt idx="32">
                  <c:v>8</c:v>
                </c:pt>
                <c:pt idx="33">
                  <c:v>15</c:v>
                </c:pt>
                <c:pt idx="34">
                  <c:v>15</c:v>
                </c:pt>
                <c:pt idx="35">
                  <c:v>19</c:v>
                </c:pt>
                <c:pt idx="36">
                  <c:v>39</c:v>
                </c:pt>
                <c:pt idx="37">
                  <c:v>32</c:v>
                </c:pt>
                <c:pt idx="38">
                  <c:v>34</c:v>
                </c:pt>
                <c:pt idx="39">
                  <c:v>48</c:v>
                </c:pt>
                <c:pt idx="40">
                  <c:v>35</c:v>
                </c:pt>
                <c:pt idx="41">
                  <c:v>35</c:v>
                </c:pt>
                <c:pt idx="42">
                  <c:v>38</c:v>
                </c:pt>
                <c:pt idx="43">
                  <c:v>38</c:v>
                </c:pt>
                <c:pt idx="44">
                  <c:v>22</c:v>
                </c:pt>
                <c:pt idx="45">
                  <c:v>18</c:v>
                </c:pt>
                <c:pt idx="46">
                  <c:v>7</c:v>
                </c:pt>
                <c:pt idx="47">
                  <c:v>10</c:v>
                </c:pt>
                <c:pt idx="48">
                  <c:v>12</c:v>
                </c:pt>
                <c:pt idx="49">
                  <c:v>8</c:v>
                </c:pt>
                <c:pt idx="50">
                  <c:v>12</c:v>
                </c:pt>
                <c:pt idx="51">
                  <c:v>13</c:v>
                </c:pt>
                <c:pt idx="5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B8-4A81-A5B0-347D304F1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844111"/>
        <c:axId val="354842671"/>
      </c:lineChart>
      <c:catAx>
        <c:axId val="35484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842671"/>
        <c:crosses val="autoZero"/>
        <c:auto val="1"/>
        <c:lblAlgn val="ctr"/>
        <c:lblOffset val="100"/>
        <c:noMultiLvlLbl val="0"/>
      </c:catAx>
      <c:valAx>
        <c:axId val="35484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84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'2014'!$C$56</c:f>
              <c:strCache>
                <c:ptCount val="1"/>
                <c:pt idx="0">
                  <c:v>Average Across the Years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'2014'!$B$57:$B$109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'2014'!$C$57:$C$109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0.4</c:v>
                </c:pt>
                <c:pt idx="25">
                  <c:v>0</c:v>
                </c:pt>
                <c:pt idx="26">
                  <c:v>0.4</c:v>
                </c:pt>
                <c:pt idx="27">
                  <c:v>1</c:v>
                </c:pt>
                <c:pt idx="28">
                  <c:v>3.3</c:v>
                </c:pt>
                <c:pt idx="29">
                  <c:v>5.2</c:v>
                </c:pt>
                <c:pt idx="30">
                  <c:v>9</c:v>
                </c:pt>
                <c:pt idx="31">
                  <c:v>12.5</c:v>
                </c:pt>
                <c:pt idx="32">
                  <c:v>17.3</c:v>
                </c:pt>
                <c:pt idx="33">
                  <c:v>18.3</c:v>
                </c:pt>
                <c:pt idx="34">
                  <c:v>23</c:v>
                </c:pt>
                <c:pt idx="35">
                  <c:v>19</c:v>
                </c:pt>
                <c:pt idx="36">
                  <c:v>27.6</c:v>
                </c:pt>
                <c:pt idx="37">
                  <c:v>27.1</c:v>
                </c:pt>
                <c:pt idx="38">
                  <c:v>30.2</c:v>
                </c:pt>
                <c:pt idx="39">
                  <c:v>26.2</c:v>
                </c:pt>
                <c:pt idx="40">
                  <c:v>21.1</c:v>
                </c:pt>
                <c:pt idx="41">
                  <c:v>19</c:v>
                </c:pt>
                <c:pt idx="42">
                  <c:v>18.8</c:v>
                </c:pt>
                <c:pt idx="43">
                  <c:v>13.7</c:v>
                </c:pt>
                <c:pt idx="44">
                  <c:v>12.1</c:v>
                </c:pt>
                <c:pt idx="45">
                  <c:v>8.8000000000000007</c:v>
                </c:pt>
                <c:pt idx="46">
                  <c:v>3.8</c:v>
                </c:pt>
                <c:pt idx="47">
                  <c:v>6.3</c:v>
                </c:pt>
                <c:pt idx="48">
                  <c:v>5.7</c:v>
                </c:pt>
                <c:pt idx="49">
                  <c:v>4.5999999999999996</c:v>
                </c:pt>
                <c:pt idx="50">
                  <c:v>3.1</c:v>
                </c:pt>
                <c:pt idx="51">
                  <c:v>7</c:v>
                </c:pt>
                <c:pt idx="52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6F-40F5-9F00-19FD160C48DB}"/>
            </c:ext>
          </c:extLst>
        </c:ser>
        <c:ser>
          <c:idx val="1"/>
          <c:order val="1"/>
          <c:tx>
            <c:strRef>
              <c:f>'2014'!$D$56</c:f>
              <c:strCache>
                <c:ptCount val="1"/>
                <c:pt idx="0">
                  <c:v>"2014"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'2014'!$B$57:$B$109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'2014'!$D$57:$D$109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5</c:v>
                </c:pt>
                <c:pt idx="28">
                  <c:v>3</c:v>
                </c:pt>
                <c:pt idx="29">
                  <c:v>5</c:v>
                </c:pt>
                <c:pt idx="30">
                  <c:v>18</c:v>
                </c:pt>
                <c:pt idx="31">
                  <c:v>18</c:v>
                </c:pt>
                <c:pt idx="32">
                  <c:v>38</c:v>
                </c:pt>
                <c:pt idx="33">
                  <c:v>33</c:v>
                </c:pt>
                <c:pt idx="34">
                  <c:v>53</c:v>
                </c:pt>
                <c:pt idx="35">
                  <c:v>53</c:v>
                </c:pt>
                <c:pt idx="36">
                  <c:v>71</c:v>
                </c:pt>
                <c:pt idx="37">
                  <c:v>64</c:v>
                </c:pt>
                <c:pt idx="38">
                  <c:v>56</c:v>
                </c:pt>
                <c:pt idx="39">
                  <c:v>55</c:v>
                </c:pt>
                <c:pt idx="40">
                  <c:v>74</c:v>
                </c:pt>
                <c:pt idx="41">
                  <c:v>46</c:v>
                </c:pt>
                <c:pt idx="42">
                  <c:v>45</c:v>
                </c:pt>
                <c:pt idx="43">
                  <c:v>52</c:v>
                </c:pt>
                <c:pt idx="44">
                  <c:v>28</c:v>
                </c:pt>
                <c:pt idx="45">
                  <c:v>16</c:v>
                </c:pt>
                <c:pt idx="46">
                  <c:v>9</c:v>
                </c:pt>
                <c:pt idx="47">
                  <c:v>7</c:v>
                </c:pt>
                <c:pt idx="48">
                  <c:v>22</c:v>
                </c:pt>
                <c:pt idx="49">
                  <c:v>4</c:v>
                </c:pt>
                <c:pt idx="50">
                  <c:v>2</c:v>
                </c:pt>
                <c:pt idx="51">
                  <c:v>19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6F-40F5-9F00-19FD160C4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909407"/>
        <c:axId val="1280909887"/>
      </c:lineChart>
      <c:catAx>
        <c:axId val="128090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909887"/>
        <c:crosses val="autoZero"/>
        <c:auto val="1"/>
        <c:lblAlgn val="ctr"/>
        <c:lblOffset val="100"/>
        <c:noMultiLvlLbl val="0"/>
      </c:catAx>
      <c:valAx>
        <c:axId val="128090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90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Distribution</a:t>
            </a:r>
            <a:r>
              <a:rPr lang="en-US" baseline="0"/>
              <a:t> Throughout the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MeanByWeek!$P$31</c:f>
              <c:strCache>
                <c:ptCount val="1"/>
                <c:pt idx="0">
                  <c:v>Average Across the Years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MeanByWeek!$O$32:$O$84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MeanByWeek!$P$32:$P$84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9.0909090909090912E-2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9.0909090909090912E-2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0.45454545454545453</c:v>
                </c:pt>
                <c:pt idx="25">
                  <c:v>9.0909090909090912E-2</c:v>
                </c:pt>
                <c:pt idx="26">
                  <c:v>0.63636363636363635</c:v>
                </c:pt>
                <c:pt idx="27">
                  <c:v>1.3636363636363635</c:v>
                </c:pt>
                <c:pt idx="28">
                  <c:v>3.2727272727272729</c:v>
                </c:pt>
                <c:pt idx="29">
                  <c:v>5.1818181818181817</c:v>
                </c:pt>
                <c:pt idx="30">
                  <c:v>9.8181818181818183</c:v>
                </c:pt>
                <c:pt idx="31">
                  <c:v>13</c:v>
                </c:pt>
                <c:pt idx="32">
                  <c:v>19.181818181818183</c:v>
                </c:pt>
                <c:pt idx="33">
                  <c:v>19.636363636363637</c:v>
                </c:pt>
                <c:pt idx="34">
                  <c:v>25.727272727272727</c:v>
                </c:pt>
                <c:pt idx="35">
                  <c:v>22.09090909090909</c:v>
                </c:pt>
                <c:pt idx="36">
                  <c:v>31.545454545454547</c:v>
                </c:pt>
                <c:pt idx="37">
                  <c:v>30.454545454545453</c:v>
                </c:pt>
                <c:pt idx="38">
                  <c:v>32.545454545454547</c:v>
                </c:pt>
                <c:pt idx="39">
                  <c:v>28.818181818181817</c:v>
                </c:pt>
                <c:pt idx="40">
                  <c:v>25.90909090909091</c:v>
                </c:pt>
                <c:pt idx="41">
                  <c:v>21.454545454545453</c:v>
                </c:pt>
                <c:pt idx="42">
                  <c:v>21.181818181818183</c:v>
                </c:pt>
                <c:pt idx="43">
                  <c:v>17.181818181818183</c:v>
                </c:pt>
                <c:pt idx="44">
                  <c:v>13.545454545454545</c:v>
                </c:pt>
                <c:pt idx="45">
                  <c:v>9.454545454545455</c:v>
                </c:pt>
                <c:pt idx="46">
                  <c:v>4.2727272727272725</c:v>
                </c:pt>
                <c:pt idx="47">
                  <c:v>6.3636363636363633</c:v>
                </c:pt>
                <c:pt idx="48">
                  <c:v>7.1818181818181817</c:v>
                </c:pt>
                <c:pt idx="49">
                  <c:v>4.5454545454545459</c:v>
                </c:pt>
                <c:pt idx="50">
                  <c:v>3</c:v>
                </c:pt>
                <c:pt idx="51">
                  <c:v>8.0909090909090917</c:v>
                </c:pt>
                <c:pt idx="52">
                  <c:v>3.7272727272727271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F7-47BD-A6AE-88956A304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029583"/>
        <c:axId val="1193038223"/>
      </c:barChart>
      <c:catAx>
        <c:axId val="1193029583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038223"/>
        <c:crosses val="autoZero"/>
        <c:auto val="1"/>
        <c:lblAlgn val="ctr"/>
        <c:lblOffset val="100"/>
        <c:noMultiLvlLbl val="0"/>
      </c:catAx>
      <c:valAx>
        <c:axId val="119303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Num of Positive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02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'2015'!$D$56</c:f>
              <c:strCache>
                <c:ptCount val="1"/>
                <c:pt idx="0">
                  <c:v>Average Across the Years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'2015'!$C$57:$C$109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'2015'!$D$57:$D$109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0.5</c:v>
                </c:pt>
                <c:pt idx="25">
                  <c:v>0.1</c:v>
                </c:pt>
                <c:pt idx="26">
                  <c:v>0.7</c:v>
                </c:pt>
                <c:pt idx="27">
                  <c:v>1.5</c:v>
                </c:pt>
                <c:pt idx="28">
                  <c:v>3.5</c:v>
                </c:pt>
                <c:pt idx="29">
                  <c:v>4.8</c:v>
                </c:pt>
                <c:pt idx="30">
                  <c:v>9.6</c:v>
                </c:pt>
                <c:pt idx="31">
                  <c:v>11.9</c:v>
                </c:pt>
                <c:pt idx="32">
                  <c:v>18</c:v>
                </c:pt>
                <c:pt idx="33">
                  <c:v>19.600000000000001</c:v>
                </c:pt>
                <c:pt idx="34">
                  <c:v>26.4</c:v>
                </c:pt>
                <c:pt idx="35">
                  <c:v>21.2</c:v>
                </c:pt>
                <c:pt idx="36">
                  <c:v>31.3</c:v>
                </c:pt>
                <c:pt idx="37">
                  <c:v>28.3</c:v>
                </c:pt>
                <c:pt idx="38">
                  <c:v>29.1</c:v>
                </c:pt>
                <c:pt idx="39">
                  <c:v>25.7</c:v>
                </c:pt>
                <c:pt idx="40">
                  <c:v>24</c:v>
                </c:pt>
                <c:pt idx="41">
                  <c:v>18.5</c:v>
                </c:pt>
                <c:pt idx="42">
                  <c:v>18.100000000000001</c:v>
                </c:pt>
                <c:pt idx="43">
                  <c:v>14.9</c:v>
                </c:pt>
                <c:pt idx="44">
                  <c:v>11</c:v>
                </c:pt>
                <c:pt idx="45">
                  <c:v>6.8</c:v>
                </c:pt>
                <c:pt idx="46">
                  <c:v>3.3</c:v>
                </c:pt>
                <c:pt idx="47">
                  <c:v>3.2</c:v>
                </c:pt>
                <c:pt idx="48">
                  <c:v>5.2</c:v>
                </c:pt>
                <c:pt idx="49">
                  <c:v>2.2000000000000002</c:v>
                </c:pt>
                <c:pt idx="50">
                  <c:v>2.9</c:v>
                </c:pt>
                <c:pt idx="51">
                  <c:v>4.0999999999999996</c:v>
                </c:pt>
                <c:pt idx="52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99-4F5D-B5B8-1D427300F75F}"/>
            </c:ext>
          </c:extLst>
        </c:ser>
        <c:ser>
          <c:idx val="1"/>
          <c:order val="1"/>
          <c:tx>
            <c:strRef>
              <c:f>'2015'!$E$56</c:f>
              <c:strCache>
                <c:ptCount val="1"/>
                <c:pt idx="0">
                  <c:v>"2015"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'2015'!$C$57:$C$109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'2015'!$E$57:$E$109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9</c:v>
                </c:pt>
                <c:pt idx="30">
                  <c:v>12</c:v>
                </c:pt>
                <c:pt idx="31">
                  <c:v>24</c:v>
                </c:pt>
                <c:pt idx="32">
                  <c:v>31</c:v>
                </c:pt>
                <c:pt idx="33">
                  <c:v>20</c:v>
                </c:pt>
                <c:pt idx="34">
                  <c:v>19</c:v>
                </c:pt>
                <c:pt idx="35">
                  <c:v>31</c:v>
                </c:pt>
                <c:pt idx="36">
                  <c:v>34</c:v>
                </c:pt>
                <c:pt idx="37">
                  <c:v>52</c:v>
                </c:pt>
                <c:pt idx="38">
                  <c:v>67</c:v>
                </c:pt>
                <c:pt idx="39">
                  <c:v>60</c:v>
                </c:pt>
                <c:pt idx="40">
                  <c:v>45</c:v>
                </c:pt>
                <c:pt idx="41">
                  <c:v>51</c:v>
                </c:pt>
                <c:pt idx="42">
                  <c:v>52</c:v>
                </c:pt>
                <c:pt idx="43">
                  <c:v>40</c:v>
                </c:pt>
                <c:pt idx="44">
                  <c:v>39</c:v>
                </c:pt>
                <c:pt idx="45">
                  <c:v>36</c:v>
                </c:pt>
                <c:pt idx="46">
                  <c:v>14</c:v>
                </c:pt>
                <c:pt idx="47">
                  <c:v>38</c:v>
                </c:pt>
                <c:pt idx="48">
                  <c:v>27</c:v>
                </c:pt>
                <c:pt idx="49">
                  <c:v>28</c:v>
                </c:pt>
                <c:pt idx="50">
                  <c:v>4</c:v>
                </c:pt>
                <c:pt idx="51">
                  <c:v>48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99-4F5D-B5B8-1D427300F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3491615"/>
        <c:axId val="983493535"/>
      </c:lineChart>
      <c:catAx>
        <c:axId val="98349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493535"/>
        <c:crosses val="autoZero"/>
        <c:auto val="1"/>
        <c:lblAlgn val="ctr"/>
        <c:lblOffset val="100"/>
        <c:noMultiLvlLbl val="0"/>
      </c:catAx>
      <c:valAx>
        <c:axId val="98349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49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Distribution</a:t>
            </a:r>
            <a:r>
              <a:rPr lang="en-US" baseline="0"/>
              <a:t> Throughout the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MeanByWeek!$P$31</c:f>
              <c:strCache>
                <c:ptCount val="1"/>
                <c:pt idx="0">
                  <c:v>Average Across the Years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MeanByWeek!$O$32:$O$84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MeanByWeek!$P$32:$P$84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9.0909090909090912E-2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9.0909090909090912E-2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0.45454545454545453</c:v>
                </c:pt>
                <c:pt idx="25">
                  <c:v>9.0909090909090912E-2</c:v>
                </c:pt>
                <c:pt idx="26">
                  <c:v>0.63636363636363635</c:v>
                </c:pt>
                <c:pt idx="27">
                  <c:v>1.3636363636363635</c:v>
                </c:pt>
                <c:pt idx="28">
                  <c:v>3.2727272727272729</c:v>
                </c:pt>
                <c:pt idx="29">
                  <c:v>5.1818181818181817</c:v>
                </c:pt>
                <c:pt idx="30">
                  <c:v>9.8181818181818183</c:v>
                </c:pt>
                <c:pt idx="31">
                  <c:v>13</c:v>
                </c:pt>
                <c:pt idx="32">
                  <c:v>19.181818181818183</c:v>
                </c:pt>
                <c:pt idx="33">
                  <c:v>19.636363636363637</c:v>
                </c:pt>
                <c:pt idx="34">
                  <c:v>25.727272727272727</c:v>
                </c:pt>
                <c:pt idx="35">
                  <c:v>22.09090909090909</c:v>
                </c:pt>
                <c:pt idx="36">
                  <c:v>31.545454545454547</c:v>
                </c:pt>
                <c:pt idx="37">
                  <c:v>30.454545454545453</c:v>
                </c:pt>
                <c:pt idx="38">
                  <c:v>32.545454545454547</c:v>
                </c:pt>
                <c:pt idx="39">
                  <c:v>28.818181818181817</c:v>
                </c:pt>
                <c:pt idx="40">
                  <c:v>25.90909090909091</c:v>
                </c:pt>
                <c:pt idx="41">
                  <c:v>21.454545454545453</c:v>
                </c:pt>
                <c:pt idx="42">
                  <c:v>21.181818181818183</c:v>
                </c:pt>
                <c:pt idx="43">
                  <c:v>17.181818181818183</c:v>
                </c:pt>
                <c:pt idx="44">
                  <c:v>13.545454545454545</c:v>
                </c:pt>
                <c:pt idx="45">
                  <c:v>9.454545454545455</c:v>
                </c:pt>
                <c:pt idx="46">
                  <c:v>4.2727272727272725</c:v>
                </c:pt>
                <c:pt idx="47">
                  <c:v>6.3636363636363633</c:v>
                </c:pt>
                <c:pt idx="48">
                  <c:v>7.1818181818181817</c:v>
                </c:pt>
                <c:pt idx="49">
                  <c:v>4.5454545454545459</c:v>
                </c:pt>
                <c:pt idx="50">
                  <c:v>3</c:v>
                </c:pt>
                <c:pt idx="51">
                  <c:v>8.0909090909090917</c:v>
                </c:pt>
                <c:pt idx="52">
                  <c:v>3.7272727272727271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EA-4329-9805-3B034D6FE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029583"/>
        <c:axId val="1193038223"/>
      </c:barChart>
      <c:catAx>
        <c:axId val="1193029583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038223"/>
        <c:crosses val="autoZero"/>
        <c:auto val="1"/>
        <c:lblAlgn val="ctr"/>
        <c:lblOffset val="100"/>
        <c:noMultiLvlLbl val="0"/>
      </c:catAx>
      <c:valAx>
        <c:axId val="119303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Num of Positive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02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of Norma</a:t>
            </a:r>
            <a:r>
              <a:rPr lang="en-US" baseline="0"/>
              <a:t>l Cases vs Years of Concern</a:t>
            </a:r>
            <a:endParaRPr lang="en-US"/>
          </a:p>
        </c:rich>
      </c:tx>
      <c:layout>
        <c:manualLayout>
          <c:xMode val="edge"/>
          <c:yMode val="edge"/>
          <c:x val="0.26080256999981499"/>
          <c:y val="1.88235294117647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'Without Years of Concern'!$M$31</c:f>
              <c:strCache>
                <c:ptCount val="1"/>
                <c:pt idx="0">
                  <c:v>Average Across the Years</c:v>
                </c:pt>
              </c:strCache>
            </c:strRef>
          </c:tx>
          <c:spPr>
            <a:solidFill>
              <a:srgbClr val="FFBE0B"/>
            </a:solidFill>
            <a:ln>
              <a:noFill/>
            </a:ln>
            <a:effectLst/>
          </c:spPr>
          <c:cat>
            <c:numRef>
              <c:f>'Without Years of Concern'!$L$32:$L$84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'Without Years of Concern'!$M$32:$M$84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0.375</c:v>
                </c:pt>
                <c:pt idx="25">
                  <c:v>0</c:v>
                </c:pt>
                <c:pt idx="26">
                  <c:v>0.5</c:v>
                </c:pt>
                <c:pt idx="27">
                  <c:v>1</c:v>
                </c:pt>
                <c:pt idx="28">
                  <c:v>3.625</c:v>
                </c:pt>
                <c:pt idx="29">
                  <c:v>5.25</c:v>
                </c:pt>
                <c:pt idx="30">
                  <c:v>9.25</c:v>
                </c:pt>
                <c:pt idx="31">
                  <c:v>11.75</c:v>
                </c:pt>
                <c:pt idx="32">
                  <c:v>16.75</c:v>
                </c:pt>
                <c:pt idx="33">
                  <c:v>18.5</c:v>
                </c:pt>
                <c:pt idx="34">
                  <c:v>24.5</c:v>
                </c:pt>
                <c:pt idx="35">
                  <c:v>17.5</c:v>
                </c:pt>
                <c:pt idx="36">
                  <c:v>25.375</c:v>
                </c:pt>
                <c:pt idx="37">
                  <c:v>23.375</c:v>
                </c:pt>
                <c:pt idx="38">
                  <c:v>25.125</c:v>
                </c:pt>
                <c:pt idx="39">
                  <c:v>19.25</c:v>
                </c:pt>
                <c:pt idx="40">
                  <c:v>16.375</c:v>
                </c:pt>
                <c:pt idx="41">
                  <c:v>13</c:v>
                </c:pt>
                <c:pt idx="42">
                  <c:v>12.25</c:v>
                </c:pt>
                <c:pt idx="43">
                  <c:v>7.375</c:v>
                </c:pt>
                <c:pt idx="44">
                  <c:v>7.5</c:v>
                </c:pt>
                <c:pt idx="45">
                  <c:v>4.25</c:v>
                </c:pt>
                <c:pt idx="46">
                  <c:v>2.125</c:v>
                </c:pt>
                <c:pt idx="47">
                  <c:v>1.875</c:v>
                </c:pt>
                <c:pt idx="48">
                  <c:v>2.25</c:v>
                </c:pt>
                <c:pt idx="49">
                  <c:v>1.25</c:v>
                </c:pt>
                <c:pt idx="50">
                  <c:v>1.875</c:v>
                </c:pt>
                <c:pt idx="51">
                  <c:v>1.125</c:v>
                </c:pt>
                <c:pt idx="52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3-4B9F-8C4A-A80D734F64B9}"/>
            </c:ext>
          </c:extLst>
        </c:ser>
        <c:ser>
          <c:idx val="1"/>
          <c:order val="1"/>
          <c:tx>
            <c:strRef>
              <c:f>'Without Years of Concern'!$N$31</c:f>
              <c:strCache>
                <c:ptCount val="1"/>
                <c:pt idx="0">
                  <c:v>"2012"</c:v>
                </c:pt>
              </c:strCache>
            </c:strRef>
          </c:tx>
          <c:spPr>
            <a:solidFill>
              <a:srgbClr val="FF006E"/>
            </a:solidFill>
            <a:ln>
              <a:noFill/>
            </a:ln>
            <a:effectLst/>
          </c:spPr>
          <c:cat>
            <c:numRef>
              <c:f>'Without Years of Concern'!$L$32:$L$84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'Without Years of Concern'!$N$32:$N$84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2</c:v>
                </c:pt>
                <c:pt idx="28">
                  <c:v>3</c:v>
                </c:pt>
                <c:pt idx="29">
                  <c:v>1</c:v>
                </c:pt>
                <c:pt idx="30">
                  <c:v>4</c:v>
                </c:pt>
                <c:pt idx="31">
                  <c:v>7</c:v>
                </c:pt>
                <c:pt idx="32">
                  <c:v>8</c:v>
                </c:pt>
                <c:pt idx="33">
                  <c:v>15</c:v>
                </c:pt>
                <c:pt idx="34">
                  <c:v>15</c:v>
                </c:pt>
                <c:pt idx="35">
                  <c:v>19</c:v>
                </c:pt>
                <c:pt idx="36">
                  <c:v>39</c:v>
                </c:pt>
                <c:pt idx="37">
                  <c:v>32</c:v>
                </c:pt>
                <c:pt idx="38">
                  <c:v>34</c:v>
                </c:pt>
                <c:pt idx="39">
                  <c:v>48</c:v>
                </c:pt>
                <c:pt idx="40">
                  <c:v>35</c:v>
                </c:pt>
                <c:pt idx="41">
                  <c:v>35</c:v>
                </c:pt>
                <c:pt idx="42">
                  <c:v>38</c:v>
                </c:pt>
                <c:pt idx="43">
                  <c:v>38</c:v>
                </c:pt>
                <c:pt idx="44">
                  <c:v>22</c:v>
                </c:pt>
                <c:pt idx="45">
                  <c:v>18</c:v>
                </c:pt>
                <c:pt idx="46">
                  <c:v>7</c:v>
                </c:pt>
                <c:pt idx="47">
                  <c:v>10</c:v>
                </c:pt>
                <c:pt idx="48">
                  <c:v>12</c:v>
                </c:pt>
                <c:pt idx="49">
                  <c:v>8</c:v>
                </c:pt>
                <c:pt idx="50">
                  <c:v>12</c:v>
                </c:pt>
                <c:pt idx="51">
                  <c:v>13</c:v>
                </c:pt>
                <c:pt idx="5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33-4B9F-8C4A-A80D734F64B9}"/>
            </c:ext>
          </c:extLst>
        </c:ser>
        <c:ser>
          <c:idx val="2"/>
          <c:order val="2"/>
          <c:tx>
            <c:strRef>
              <c:f>'Without Years of Concern'!$O$31</c:f>
              <c:strCache>
                <c:ptCount val="1"/>
                <c:pt idx="0">
                  <c:v>"2014"</c:v>
                </c:pt>
              </c:strCache>
            </c:strRef>
          </c:tx>
          <c:spPr>
            <a:solidFill>
              <a:srgbClr val="8338EC"/>
            </a:solidFill>
            <a:ln>
              <a:noFill/>
            </a:ln>
            <a:effectLst/>
          </c:spPr>
          <c:cat>
            <c:numRef>
              <c:f>'Without Years of Concern'!$L$32:$L$84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'Without Years of Concern'!$O$32:$O$84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5</c:v>
                </c:pt>
                <c:pt idx="28">
                  <c:v>3</c:v>
                </c:pt>
                <c:pt idx="29">
                  <c:v>5</c:v>
                </c:pt>
                <c:pt idx="30">
                  <c:v>18</c:v>
                </c:pt>
                <c:pt idx="31">
                  <c:v>18</c:v>
                </c:pt>
                <c:pt idx="32">
                  <c:v>38</c:v>
                </c:pt>
                <c:pt idx="33">
                  <c:v>33</c:v>
                </c:pt>
                <c:pt idx="34">
                  <c:v>53</c:v>
                </c:pt>
                <c:pt idx="35">
                  <c:v>53</c:v>
                </c:pt>
                <c:pt idx="36">
                  <c:v>71</c:v>
                </c:pt>
                <c:pt idx="37">
                  <c:v>64</c:v>
                </c:pt>
                <c:pt idx="38">
                  <c:v>56</c:v>
                </c:pt>
                <c:pt idx="39">
                  <c:v>55</c:v>
                </c:pt>
                <c:pt idx="40">
                  <c:v>74</c:v>
                </c:pt>
                <c:pt idx="41">
                  <c:v>46</c:v>
                </c:pt>
                <c:pt idx="42">
                  <c:v>45</c:v>
                </c:pt>
                <c:pt idx="43">
                  <c:v>52</c:v>
                </c:pt>
                <c:pt idx="44">
                  <c:v>28</c:v>
                </c:pt>
                <c:pt idx="45">
                  <c:v>16</c:v>
                </c:pt>
                <c:pt idx="46">
                  <c:v>9</c:v>
                </c:pt>
                <c:pt idx="47">
                  <c:v>7</c:v>
                </c:pt>
                <c:pt idx="48">
                  <c:v>22</c:v>
                </c:pt>
                <c:pt idx="49">
                  <c:v>4</c:v>
                </c:pt>
                <c:pt idx="50">
                  <c:v>2</c:v>
                </c:pt>
                <c:pt idx="51">
                  <c:v>19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33-4B9F-8C4A-A80D734F64B9}"/>
            </c:ext>
          </c:extLst>
        </c:ser>
        <c:ser>
          <c:idx val="3"/>
          <c:order val="3"/>
          <c:tx>
            <c:strRef>
              <c:f>'Without Years of Concern'!$P$31</c:f>
              <c:strCache>
                <c:ptCount val="1"/>
                <c:pt idx="0">
                  <c:v>"2015"</c:v>
                </c:pt>
              </c:strCache>
            </c:strRef>
          </c:tx>
          <c:spPr>
            <a:solidFill>
              <a:srgbClr val="3A86FF"/>
            </a:solidFill>
            <a:ln>
              <a:noFill/>
            </a:ln>
            <a:effectLst/>
          </c:spPr>
          <c:cat>
            <c:numRef>
              <c:f>'Without Years of Concern'!$L$32:$L$84</c:f>
              <c:numCache>
                <c:formatCode>General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cat>
          <c:val>
            <c:numRef>
              <c:f>'Without Years of Concern'!$P$32:$P$84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9</c:v>
                </c:pt>
                <c:pt idx="30">
                  <c:v>12</c:v>
                </c:pt>
                <c:pt idx="31">
                  <c:v>24</c:v>
                </c:pt>
                <c:pt idx="32">
                  <c:v>31</c:v>
                </c:pt>
                <c:pt idx="33">
                  <c:v>20</c:v>
                </c:pt>
                <c:pt idx="34">
                  <c:v>19</c:v>
                </c:pt>
                <c:pt idx="35">
                  <c:v>31</c:v>
                </c:pt>
                <c:pt idx="36">
                  <c:v>34</c:v>
                </c:pt>
                <c:pt idx="37">
                  <c:v>52</c:v>
                </c:pt>
                <c:pt idx="38">
                  <c:v>67</c:v>
                </c:pt>
                <c:pt idx="39">
                  <c:v>60</c:v>
                </c:pt>
                <c:pt idx="40">
                  <c:v>45</c:v>
                </c:pt>
                <c:pt idx="41">
                  <c:v>51</c:v>
                </c:pt>
                <c:pt idx="42">
                  <c:v>52</c:v>
                </c:pt>
                <c:pt idx="43">
                  <c:v>40</c:v>
                </c:pt>
                <c:pt idx="44">
                  <c:v>39</c:v>
                </c:pt>
                <c:pt idx="45">
                  <c:v>36</c:v>
                </c:pt>
                <c:pt idx="46">
                  <c:v>14</c:v>
                </c:pt>
                <c:pt idx="47">
                  <c:v>38</c:v>
                </c:pt>
                <c:pt idx="48">
                  <c:v>27</c:v>
                </c:pt>
                <c:pt idx="49">
                  <c:v>28</c:v>
                </c:pt>
                <c:pt idx="50">
                  <c:v>4</c:v>
                </c:pt>
                <c:pt idx="51">
                  <c:v>48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33-4B9F-8C4A-A80D734F6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470911"/>
        <c:axId val="982470431"/>
      </c:areaChart>
      <c:catAx>
        <c:axId val="982470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470431"/>
        <c:crosses val="autoZero"/>
        <c:auto val="1"/>
        <c:lblAlgn val="ctr"/>
        <c:lblOffset val="100"/>
        <c:noMultiLvlLbl val="0"/>
      </c:catAx>
      <c:valAx>
        <c:axId val="98247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470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12700</xdr:colOff>
      <xdr:row>9</xdr:row>
      <xdr:rowOff>6350</xdr:rowOff>
    </xdr:from>
    <xdr:to>
      <xdr:col>24</xdr:col>
      <xdr:colOff>6350</xdr:colOff>
      <xdr:row>29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635CDE-5185-EE00-093B-5DEB742F7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</xdr:colOff>
      <xdr:row>29</xdr:row>
      <xdr:rowOff>15874</xdr:rowOff>
    </xdr:from>
    <xdr:to>
      <xdr:col>24</xdr:col>
      <xdr:colOff>0</xdr:colOff>
      <xdr:row>49</xdr:row>
      <xdr:rowOff>12699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9DB227-A5A7-2D06-6ADD-D75F6412B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120650</xdr:colOff>
      <xdr:row>52</xdr:row>
      <xdr:rowOff>180975</xdr:rowOff>
    </xdr:from>
    <xdr:to>
      <xdr:col>22</xdr:col>
      <xdr:colOff>622300</xdr:colOff>
      <xdr:row>66</xdr:row>
      <xdr:rowOff>79375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D5ED19-8FEB-9770-DE6D-ABF3F3DBE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450850</xdr:colOff>
      <xdr:row>60</xdr:row>
      <xdr:rowOff>66675</xdr:rowOff>
    </xdr:from>
    <xdr:to>
      <xdr:col>12</xdr:col>
      <xdr:colOff>19050</xdr:colOff>
      <xdr:row>73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321971-5118-E258-E912-510BD250F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254000</xdr:colOff>
      <xdr:row>55</xdr:row>
      <xdr:rowOff>158750</xdr:rowOff>
    </xdr:from>
    <xdr:to>
      <xdr:col>21</xdr:col>
      <xdr:colOff>622300</xdr:colOff>
      <xdr:row>75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6ABEE7-640D-4C8B-A399-1DD9224C9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260350</xdr:colOff>
      <xdr:row>55</xdr:row>
      <xdr:rowOff>161924</xdr:rowOff>
    </xdr:from>
    <xdr:to>
      <xdr:col>21</xdr:col>
      <xdr:colOff>615950</xdr:colOff>
      <xdr:row>75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6A8BC9-23A2-25D5-FC0D-6878B7D5D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273050</xdr:colOff>
      <xdr:row>2</xdr:row>
      <xdr:rowOff>69850</xdr:rowOff>
    </xdr:from>
    <xdr:to>
      <xdr:col>22</xdr:col>
      <xdr:colOff>254000</xdr:colOff>
      <xdr:row>22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F35E87-4E31-4F3A-8591-74EA7451C4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2</xdr:row>
      <xdr:rowOff>73024</xdr:rowOff>
    </xdr:from>
    <xdr:to>
      <xdr:col>22</xdr:col>
      <xdr:colOff>266700</xdr:colOff>
      <xdr:row>22</xdr:row>
      <xdr:rowOff>57149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4CF8CBA-D0B5-4713-B715-3C2A7C080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7EE5-2F09-4810-A60A-B170F2293C7F}">
  <dimension ref="A1:V15"/>
  <sheetViews>
    <sheetView workbookViewId="0">
      <selection activeCell="F20" sqref="F20"/>
    </sheetView>
  </sheetViews>
  <sheetFormatPr defaultRowHeight="16" x14ac:dyDescent="0.4"/>
  <cols>
    <col min="1" max="1" width="16.25" customWidth="1"/>
    <col min="2" max="2" width="13.4140625" customWidth="1"/>
    <col min="3" max="3" width="16.4140625" customWidth="1"/>
    <col min="5" max="5" width="15.33203125" customWidth="1"/>
    <col min="6" max="6" width="10.58203125" customWidth="1"/>
    <col min="7" max="7" width="15.33203125" customWidth="1"/>
    <col min="8" max="8" width="13.83203125" customWidth="1"/>
    <col min="9" max="9" width="15.33203125" customWidth="1"/>
    <col min="10" max="10" width="12.1640625" customWidth="1"/>
    <col min="11" max="11" width="15.75" customWidth="1"/>
    <col min="13" max="13" width="16.1640625" customWidth="1"/>
    <col min="14" max="14" width="12.08203125" customWidth="1"/>
    <col min="15" max="15" width="15.75" customWidth="1"/>
    <col min="17" max="17" width="16" customWidth="1"/>
    <col min="18" max="18" width="11.83203125" customWidth="1"/>
    <col min="19" max="19" width="16" customWidth="1"/>
    <col min="21" max="21" width="16.5" customWidth="1"/>
    <col min="22" max="22" width="12.6640625" customWidth="1"/>
  </cols>
  <sheetData>
    <row r="1" spans="1:22" x14ac:dyDescent="0.4">
      <c r="A1" s="7">
        <v>2006</v>
      </c>
      <c r="B1" s="7"/>
      <c r="C1" s="10">
        <v>2007</v>
      </c>
      <c r="D1" s="10"/>
      <c r="E1" s="13">
        <v>2008</v>
      </c>
      <c r="F1" s="13"/>
      <c r="G1" s="16">
        <v>2009</v>
      </c>
      <c r="H1" s="16"/>
      <c r="I1" s="19">
        <v>2010</v>
      </c>
      <c r="J1" s="19"/>
      <c r="K1" s="22">
        <v>2011</v>
      </c>
      <c r="L1" s="22"/>
      <c r="M1" s="37">
        <v>2012</v>
      </c>
      <c r="N1" s="37"/>
      <c r="O1" s="25">
        <v>2013</v>
      </c>
      <c r="P1" s="25"/>
      <c r="Q1" s="40">
        <v>2014</v>
      </c>
      <c r="R1" s="40"/>
      <c r="S1" s="34">
        <v>2015</v>
      </c>
      <c r="T1" s="34"/>
      <c r="U1" s="31">
        <v>2016</v>
      </c>
      <c r="V1" s="31"/>
    </row>
    <row r="2" spans="1:22" x14ac:dyDescent="0.4">
      <c r="A2" s="8"/>
      <c r="B2" s="8"/>
      <c r="C2" s="11"/>
      <c r="D2" s="11"/>
      <c r="E2" s="14"/>
      <c r="F2" s="14"/>
      <c r="G2" s="17"/>
      <c r="H2" s="17"/>
      <c r="I2" s="20"/>
      <c r="J2" s="20"/>
      <c r="K2" s="23"/>
      <c r="L2" s="23"/>
      <c r="M2" s="38"/>
      <c r="N2" s="38"/>
      <c r="O2" s="26"/>
      <c r="P2" s="26"/>
      <c r="Q2" s="41"/>
      <c r="R2" s="41"/>
      <c r="S2" s="35"/>
      <c r="T2" s="35"/>
      <c r="U2" s="32"/>
      <c r="V2" s="32"/>
    </row>
    <row r="3" spans="1:22" x14ac:dyDescent="0.4">
      <c r="A3" s="8" t="s">
        <v>17</v>
      </c>
      <c r="B3" s="8">
        <v>5.132075471698113</v>
      </c>
      <c r="C3" s="11" t="s">
        <v>17</v>
      </c>
      <c r="D3" s="11">
        <v>7.1698113207547172</v>
      </c>
      <c r="E3" s="14" t="s">
        <v>17</v>
      </c>
      <c r="F3" s="14">
        <v>8.3962264150943398</v>
      </c>
      <c r="G3" s="17" t="s">
        <v>17</v>
      </c>
      <c r="H3" s="17">
        <v>2.1132075471698113</v>
      </c>
      <c r="I3" s="20" t="s">
        <v>17</v>
      </c>
      <c r="J3" s="20">
        <v>2.0943396226415096</v>
      </c>
      <c r="K3" s="23" t="s">
        <v>17</v>
      </c>
      <c r="L3" s="23">
        <v>2.9811320754716979</v>
      </c>
      <c r="M3" s="38" t="s">
        <v>17</v>
      </c>
      <c r="N3" s="38">
        <v>9.0377358490566042</v>
      </c>
      <c r="O3" s="26" t="s">
        <v>17</v>
      </c>
      <c r="P3" s="26">
        <v>7.1509433962264151</v>
      </c>
      <c r="Q3" s="41" t="s">
        <v>17</v>
      </c>
      <c r="R3" s="41">
        <v>15.113207547169811</v>
      </c>
      <c r="S3" s="35" t="s">
        <v>17</v>
      </c>
      <c r="T3" s="35">
        <v>14.754716981132075</v>
      </c>
      <c r="U3" s="32" t="s">
        <v>17</v>
      </c>
      <c r="V3" s="32">
        <v>6.9811320754716979</v>
      </c>
    </row>
    <row r="4" spans="1:22" x14ac:dyDescent="0.4">
      <c r="A4" s="8" t="s">
        <v>18</v>
      </c>
      <c r="B4" s="8">
        <v>1.4008181664474668</v>
      </c>
      <c r="C4" s="11" t="s">
        <v>18</v>
      </c>
      <c r="D4" s="11">
        <v>1.5460366128633358</v>
      </c>
      <c r="E4" s="14" t="s">
        <v>18</v>
      </c>
      <c r="F4" s="14">
        <v>1.7108336653965563</v>
      </c>
      <c r="G4" s="17" t="s">
        <v>18</v>
      </c>
      <c r="H4" s="17">
        <v>0.48688189005242699</v>
      </c>
      <c r="I4" s="20" t="s">
        <v>18</v>
      </c>
      <c r="J4" s="20">
        <v>0.44775212707802964</v>
      </c>
      <c r="K4" s="23" t="s">
        <v>18</v>
      </c>
      <c r="L4" s="23">
        <v>0.7139957708839435</v>
      </c>
      <c r="M4" s="38" t="s">
        <v>18</v>
      </c>
      <c r="N4" s="38">
        <v>1.8523045435417358</v>
      </c>
      <c r="O4" s="26" t="s">
        <v>18</v>
      </c>
      <c r="P4" s="26">
        <v>1.4905109210658165</v>
      </c>
      <c r="Q4" s="41" t="s">
        <v>18</v>
      </c>
      <c r="R4" s="41">
        <v>3.0960272752722435</v>
      </c>
      <c r="S4" s="35" t="s">
        <v>18</v>
      </c>
      <c r="T4" s="35">
        <v>2.7679884891443862</v>
      </c>
      <c r="U4" s="32" t="s">
        <v>18</v>
      </c>
      <c r="V4" s="32">
        <v>1.8658746136993514</v>
      </c>
    </row>
    <row r="5" spans="1:22" x14ac:dyDescent="0.4">
      <c r="A5" s="8" t="s">
        <v>19</v>
      </c>
      <c r="B5" s="8">
        <v>0</v>
      </c>
      <c r="C5" s="11" t="s">
        <v>19</v>
      </c>
      <c r="D5" s="11">
        <v>0</v>
      </c>
      <c r="E5" s="14" t="s">
        <v>19</v>
      </c>
      <c r="F5" s="14">
        <v>0</v>
      </c>
      <c r="G5" s="17" t="s">
        <v>19</v>
      </c>
      <c r="H5" s="17">
        <v>0</v>
      </c>
      <c r="I5" s="20" t="s">
        <v>19</v>
      </c>
      <c r="J5" s="20">
        <v>0</v>
      </c>
      <c r="K5" s="23" t="s">
        <v>19</v>
      </c>
      <c r="L5" s="23">
        <v>0</v>
      </c>
      <c r="M5" s="38" t="s">
        <v>19</v>
      </c>
      <c r="N5" s="38">
        <v>1</v>
      </c>
      <c r="O5" s="26" t="s">
        <v>19</v>
      </c>
      <c r="P5" s="26">
        <v>0</v>
      </c>
      <c r="Q5" s="41" t="s">
        <v>19</v>
      </c>
      <c r="R5" s="41">
        <v>1</v>
      </c>
      <c r="S5" s="35" t="s">
        <v>19</v>
      </c>
      <c r="T5" s="35">
        <v>0</v>
      </c>
      <c r="U5" s="32" t="s">
        <v>19</v>
      </c>
      <c r="V5" s="32">
        <v>0</v>
      </c>
    </row>
    <row r="6" spans="1:22" x14ac:dyDescent="0.4">
      <c r="A6" s="8" t="s">
        <v>20</v>
      </c>
      <c r="B6" s="8">
        <v>0</v>
      </c>
      <c r="C6" s="11" t="s">
        <v>20</v>
      </c>
      <c r="D6" s="11">
        <v>0</v>
      </c>
      <c r="E6" s="14" t="s">
        <v>20</v>
      </c>
      <c r="F6" s="14">
        <v>0</v>
      </c>
      <c r="G6" s="17" t="s">
        <v>20</v>
      </c>
      <c r="H6" s="17">
        <v>0</v>
      </c>
      <c r="I6" s="20" t="s">
        <v>20</v>
      </c>
      <c r="J6" s="20">
        <v>0</v>
      </c>
      <c r="K6" s="23" t="s">
        <v>20</v>
      </c>
      <c r="L6" s="23">
        <v>0</v>
      </c>
      <c r="M6" s="38" t="s">
        <v>20</v>
      </c>
      <c r="N6" s="38">
        <v>0</v>
      </c>
      <c r="O6" s="26" t="s">
        <v>20</v>
      </c>
      <c r="P6" s="26">
        <v>0</v>
      </c>
      <c r="Q6" s="41" t="s">
        <v>20</v>
      </c>
      <c r="R6" s="41">
        <v>0</v>
      </c>
      <c r="S6" s="35" t="s">
        <v>20</v>
      </c>
      <c r="T6" s="35">
        <v>0</v>
      </c>
      <c r="U6" s="32" t="s">
        <v>20</v>
      </c>
      <c r="V6" s="32">
        <v>0</v>
      </c>
    </row>
    <row r="7" spans="1:22" x14ac:dyDescent="0.4">
      <c r="A7" s="8" t="s">
        <v>21</v>
      </c>
      <c r="B7" s="8">
        <v>10.198110186638006</v>
      </c>
      <c r="C7" s="11" t="s">
        <v>21</v>
      </c>
      <c r="D7" s="11">
        <v>11.255316434496127</v>
      </c>
      <c r="E7" s="14" t="s">
        <v>21</v>
      </c>
      <c r="F7" s="14">
        <v>12.455057086367507</v>
      </c>
      <c r="G7" s="17" t="s">
        <v>21</v>
      </c>
      <c r="H7" s="17">
        <v>3.5445536626822638</v>
      </c>
      <c r="I7" s="20" t="s">
        <v>21</v>
      </c>
      <c r="J7" s="20">
        <v>3.2596846882871509</v>
      </c>
      <c r="K7" s="23" t="s">
        <v>21</v>
      </c>
      <c r="L7" s="23">
        <v>5.1979676725166639</v>
      </c>
      <c r="M7" s="38" t="s">
        <v>21</v>
      </c>
      <c r="N7" s="38">
        <v>13.484980625397426</v>
      </c>
      <c r="O7" s="26" t="s">
        <v>21</v>
      </c>
      <c r="P7" s="26">
        <v>10.851083296531865</v>
      </c>
      <c r="Q7" s="41" t="s">
        <v>21</v>
      </c>
      <c r="R7" s="41">
        <v>22.539418784191678</v>
      </c>
      <c r="S7" s="35" t="s">
        <v>21</v>
      </c>
      <c r="T7" s="35">
        <v>20.151260373234685</v>
      </c>
      <c r="U7" s="32" t="s">
        <v>21</v>
      </c>
      <c r="V7" s="32">
        <v>13.583772227350114</v>
      </c>
    </row>
    <row r="8" spans="1:22" x14ac:dyDescent="0.4">
      <c r="A8" s="8" t="s">
        <v>22</v>
      </c>
      <c r="B8" s="8">
        <v>104.00145137880988</v>
      </c>
      <c r="C8" s="11" t="s">
        <v>22</v>
      </c>
      <c r="D8" s="11">
        <v>126.68214804063861</v>
      </c>
      <c r="E8" s="14" t="s">
        <v>22</v>
      </c>
      <c r="F8" s="14">
        <v>155.12844702467345</v>
      </c>
      <c r="G8" s="17" t="s">
        <v>22</v>
      </c>
      <c r="H8" s="17">
        <v>12.563860667634252</v>
      </c>
      <c r="I8" s="20" t="s">
        <v>22</v>
      </c>
      <c r="J8" s="20">
        <v>10.6255442670537</v>
      </c>
      <c r="K8" s="23" t="s">
        <v>22</v>
      </c>
      <c r="L8" s="23">
        <v>27.018867924528301</v>
      </c>
      <c r="M8" s="38" t="s">
        <v>22</v>
      </c>
      <c r="N8" s="38">
        <v>181.84470246734398</v>
      </c>
      <c r="O8" s="26" t="s">
        <v>22</v>
      </c>
      <c r="P8" s="26">
        <v>117.74600870827285</v>
      </c>
      <c r="Q8" s="41" t="s">
        <v>22</v>
      </c>
      <c r="R8" s="41">
        <v>508.02539912917268</v>
      </c>
      <c r="S8" s="35" t="s">
        <v>22</v>
      </c>
      <c r="T8" s="35">
        <v>406.07329462989844</v>
      </c>
      <c r="U8" s="32" t="s">
        <v>22</v>
      </c>
      <c r="V8" s="32">
        <v>184.51886792452828</v>
      </c>
    </row>
    <row r="9" spans="1:22" x14ac:dyDescent="0.4">
      <c r="A9" s="8" t="s">
        <v>23</v>
      </c>
      <c r="B9" s="8">
        <v>4.5634143892846009</v>
      </c>
      <c r="C9" s="11" t="s">
        <v>23</v>
      </c>
      <c r="D9" s="11">
        <v>0.28328004084688629</v>
      </c>
      <c r="E9" s="14" t="s">
        <v>23</v>
      </c>
      <c r="F9" s="14">
        <v>0.27661379719711787</v>
      </c>
      <c r="G9" s="17" t="s">
        <v>23</v>
      </c>
      <c r="H9" s="17">
        <v>1.6644301653344038</v>
      </c>
      <c r="I9" s="20" t="s">
        <v>23</v>
      </c>
      <c r="J9" s="20">
        <v>3.1849492366346035</v>
      </c>
      <c r="K9" s="23" t="s">
        <v>23</v>
      </c>
      <c r="L9" s="23">
        <v>3.3209065950709973</v>
      </c>
      <c r="M9" s="38" t="s">
        <v>23</v>
      </c>
      <c r="N9" s="38">
        <v>0.94898715462968974</v>
      </c>
      <c r="O9" s="26" t="s">
        <v>23</v>
      </c>
      <c r="P9" s="26">
        <v>0.40913005752157217</v>
      </c>
      <c r="Q9" s="41" t="s">
        <v>23</v>
      </c>
      <c r="R9" s="41">
        <v>0.36489043908975649</v>
      </c>
      <c r="S9" s="35" t="s">
        <v>23</v>
      </c>
      <c r="T9" s="35">
        <v>-0.26427430242516925</v>
      </c>
      <c r="U9" s="32" t="s">
        <v>23</v>
      </c>
      <c r="V9" s="32">
        <v>1.7988246676763882</v>
      </c>
    </row>
    <row r="10" spans="1:22" x14ac:dyDescent="0.4">
      <c r="A10" s="8" t="s">
        <v>24</v>
      </c>
      <c r="B10" s="8">
        <v>2.2813627160852579</v>
      </c>
      <c r="C10" s="11" t="s">
        <v>24</v>
      </c>
      <c r="D10" s="11">
        <v>1.3508620489516501</v>
      </c>
      <c r="E10" s="14" t="s">
        <v>24</v>
      </c>
      <c r="F10" s="14">
        <v>1.3061805892917191</v>
      </c>
      <c r="G10" s="17" t="s">
        <v>24</v>
      </c>
      <c r="H10" s="17">
        <v>1.6667264508780681</v>
      </c>
      <c r="I10" s="20" t="s">
        <v>24</v>
      </c>
      <c r="J10" s="20">
        <v>1.8271153967249756</v>
      </c>
      <c r="K10" s="23" t="s">
        <v>24</v>
      </c>
      <c r="L10" s="23">
        <v>1.9834375291213375</v>
      </c>
      <c r="M10" s="38" t="s">
        <v>24</v>
      </c>
      <c r="N10" s="38">
        <v>1.4714737081452196</v>
      </c>
      <c r="O10" s="26" t="s">
        <v>24</v>
      </c>
      <c r="P10" s="26">
        <v>1.3435759751189971</v>
      </c>
      <c r="Q10" s="41" t="s">
        <v>24</v>
      </c>
      <c r="R10" s="41">
        <v>1.3279485498488377</v>
      </c>
      <c r="S10" s="35" t="s">
        <v>24</v>
      </c>
      <c r="T10" s="35">
        <v>1.0422383027375599</v>
      </c>
      <c r="U10" s="32" t="s">
        <v>24</v>
      </c>
      <c r="V10" s="32">
        <v>1.7809616788989531</v>
      </c>
    </row>
    <row r="11" spans="1:22" x14ac:dyDescent="0.4">
      <c r="A11" s="8" t="s">
        <v>25</v>
      </c>
      <c r="B11" s="8">
        <v>42</v>
      </c>
      <c r="C11" s="11" t="s">
        <v>25</v>
      </c>
      <c r="D11" s="11">
        <v>34</v>
      </c>
      <c r="E11" s="14" t="s">
        <v>25</v>
      </c>
      <c r="F11" s="14">
        <v>38</v>
      </c>
      <c r="G11" s="17" t="s">
        <v>25</v>
      </c>
      <c r="H11" s="17">
        <v>13</v>
      </c>
      <c r="I11" s="20" t="s">
        <v>25</v>
      </c>
      <c r="J11" s="20">
        <v>14</v>
      </c>
      <c r="K11" s="23" t="s">
        <v>25</v>
      </c>
      <c r="L11" s="23">
        <v>20</v>
      </c>
      <c r="M11" s="38" t="s">
        <v>25</v>
      </c>
      <c r="N11" s="38">
        <v>48</v>
      </c>
      <c r="O11" s="26" t="s">
        <v>25</v>
      </c>
      <c r="P11" s="26">
        <v>36</v>
      </c>
      <c r="Q11" s="41" t="s">
        <v>25</v>
      </c>
      <c r="R11" s="41">
        <v>74</v>
      </c>
      <c r="S11" s="35" t="s">
        <v>25</v>
      </c>
      <c r="T11" s="35">
        <v>67</v>
      </c>
      <c r="U11" s="32" t="s">
        <v>25</v>
      </c>
      <c r="V11" s="32">
        <v>46</v>
      </c>
    </row>
    <row r="12" spans="1:22" x14ac:dyDescent="0.4">
      <c r="A12" s="8" t="s">
        <v>26</v>
      </c>
      <c r="B12" s="8">
        <v>0</v>
      </c>
      <c r="C12" s="11" t="s">
        <v>26</v>
      </c>
      <c r="D12" s="11">
        <v>0</v>
      </c>
      <c r="E12" s="14" t="s">
        <v>26</v>
      </c>
      <c r="F12" s="14">
        <v>0</v>
      </c>
      <c r="G12" s="17" t="s">
        <v>26</v>
      </c>
      <c r="H12" s="17">
        <v>0</v>
      </c>
      <c r="I12" s="20" t="s">
        <v>26</v>
      </c>
      <c r="J12" s="20">
        <v>0</v>
      </c>
      <c r="K12" s="23" t="s">
        <v>26</v>
      </c>
      <c r="L12" s="23">
        <v>0</v>
      </c>
      <c r="M12" s="38" t="s">
        <v>26</v>
      </c>
      <c r="N12" s="38">
        <v>0</v>
      </c>
      <c r="O12" s="26" t="s">
        <v>26</v>
      </c>
      <c r="P12" s="26">
        <v>0</v>
      </c>
      <c r="Q12" s="41" t="s">
        <v>26</v>
      </c>
      <c r="R12" s="41">
        <v>0</v>
      </c>
      <c r="S12" s="35" t="s">
        <v>26</v>
      </c>
      <c r="T12" s="35">
        <v>0</v>
      </c>
      <c r="U12" s="32" t="s">
        <v>26</v>
      </c>
      <c r="V12" s="32">
        <v>0</v>
      </c>
    </row>
    <row r="13" spans="1:22" x14ac:dyDescent="0.4">
      <c r="A13" s="8" t="s">
        <v>27</v>
      </c>
      <c r="B13" s="8">
        <v>42</v>
      </c>
      <c r="C13" s="11" t="s">
        <v>27</v>
      </c>
      <c r="D13" s="11">
        <v>34</v>
      </c>
      <c r="E13" s="14" t="s">
        <v>27</v>
      </c>
      <c r="F13" s="14">
        <v>38</v>
      </c>
      <c r="G13" s="17" t="s">
        <v>27</v>
      </c>
      <c r="H13" s="17">
        <v>13</v>
      </c>
      <c r="I13" s="20" t="s">
        <v>27</v>
      </c>
      <c r="J13" s="20">
        <v>14</v>
      </c>
      <c r="K13" s="23" t="s">
        <v>27</v>
      </c>
      <c r="L13" s="23">
        <v>20</v>
      </c>
      <c r="M13" s="38" t="s">
        <v>27</v>
      </c>
      <c r="N13" s="38">
        <v>48</v>
      </c>
      <c r="O13" s="26" t="s">
        <v>27</v>
      </c>
      <c r="P13" s="26">
        <v>36</v>
      </c>
      <c r="Q13" s="41" t="s">
        <v>27</v>
      </c>
      <c r="R13" s="41">
        <v>74</v>
      </c>
      <c r="S13" s="35" t="s">
        <v>27</v>
      </c>
      <c r="T13" s="35">
        <v>67</v>
      </c>
      <c r="U13" s="32" t="s">
        <v>27</v>
      </c>
      <c r="V13" s="32">
        <v>46</v>
      </c>
    </row>
    <row r="14" spans="1:22" x14ac:dyDescent="0.4">
      <c r="A14" s="8" t="s">
        <v>28</v>
      </c>
      <c r="B14" s="8">
        <v>272</v>
      </c>
      <c r="C14" s="11" t="s">
        <v>28</v>
      </c>
      <c r="D14" s="11">
        <v>380</v>
      </c>
      <c r="E14" s="14" t="s">
        <v>28</v>
      </c>
      <c r="F14" s="14">
        <v>445</v>
      </c>
      <c r="G14" s="17" t="s">
        <v>28</v>
      </c>
      <c r="H14" s="17">
        <v>112</v>
      </c>
      <c r="I14" s="20" t="s">
        <v>28</v>
      </c>
      <c r="J14" s="20">
        <v>111</v>
      </c>
      <c r="K14" s="23" t="s">
        <v>28</v>
      </c>
      <c r="L14" s="23">
        <v>158</v>
      </c>
      <c r="M14" s="38" t="s">
        <v>28</v>
      </c>
      <c r="N14" s="38">
        <v>479</v>
      </c>
      <c r="O14" s="26" t="s">
        <v>28</v>
      </c>
      <c r="P14" s="26">
        <v>379</v>
      </c>
      <c r="Q14" s="41" t="s">
        <v>28</v>
      </c>
      <c r="R14" s="41">
        <v>801</v>
      </c>
      <c r="S14" s="35" t="s">
        <v>28</v>
      </c>
      <c r="T14" s="35">
        <v>782</v>
      </c>
      <c r="U14" s="32" t="s">
        <v>28</v>
      </c>
      <c r="V14" s="32">
        <v>370</v>
      </c>
    </row>
    <row r="15" spans="1:22" ht="16.5" thickBot="1" x14ac:dyDescent="0.45">
      <c r="A15" s="9" t="s">
        <v>29</v>
      </c>
      <c r="B15" s="9">
        <v>53</v>
      </c>
      <c r="C15" s="12" t="s">
        <v>29</v>
      </c>
      <c r="D15" s="12">
        <v>53</v>
      </c>
      <c r="E15" s="15" t="s">
        <v>29</v>
      </c>
      <c r="F15" s="15">
        <v>53</v>
      </c>
      <c r="G15" s="18" t="s">
        <v>29</v>
      </c>
      <c r="H15" s="18">
        <v>53</v>
      </c>
      <c r="I15" s="21" t="s">
        <v>29</v>
      </c>
      <c r="J15" s="21">
        <v>53</v>
      </c>
      <c r="K15" s="24" t="s">
        <v>29</v>
      </c>
      <c r="L15" s="24">
        <v>53</v>
      </c>
      <c r="M15" s="39" t="s">
        <v>29</v>
      </c>
      <c r="N15" s="39">
        <v>53</v>
      </c>
      <c r="O15" s="27" t="s">
        <v>29</v>
      </c>
      <c r="P15" s="27">
        <v>53</v>
      </c>
      <c r="Q15" s="42" t="s">
        <v>29</v>
      </c>
      <c r="R15" s="42">
        <v>53</v>
      </c>
      <c r="S15" s="36" t="s">
        <v>29</v>
      </c>
      <c r="T15" s="36">
        <v>53</v>
      </c>
      <c r="U15" s="33" t="s">
        <v>29</v>
      </c>
      <c r="V15" s="33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D9D0C-3D33-447D-888D-CE2DD38A192E}">
  <dimension ref="A1:J23"/>
  <sheetViews>
    <sheetView workbookViewId="0">
      <selection activeCell="AB19" sqref="AB19"/>
    </sheetView>
  </sheetViews>
  <sheetFormatPr defaultRowHeight="16" x14ac:dyDescent="0.4"/>
  <cols>
    <col min="1" max="1" width="17.83203125" customWidth="1"/>
    <col min="8" max="8" width="11.83203125" customWidth="1"/>
  </cols>
  <sheetData>
    <row r="1" spans="1:10" x14ac:dyDescent="0.4">
      <c r="A1" t="s">
        <v>30</v>
      </c>
    </row>
    <row r="3" spans="1:10" ht="16.5" thickBot="1" x14ac:dyDescent="0.45">
      <c r="A3" t="s">
        <v>31</v>
      </c>
    </row>
    <row r="4" spans="1:10" x14ac:dyDescent="0.4">
      <c r="A4" s="6" t="s">
        <v>32</v>
      </c>
      <c r="B4" s="6" t="s">
        <v>29</v>
      </c>
      <c r="C4" s="6" t="s">
        <v>28</v>
      </c>
      <c r="D4" s="6" t="s">
        <v>33</v>
      </c>
      <c r="E4" s="6" t="s">
        <v>34</v>
      </c>
      <c r="G4" t="s">
        <v>46</v>
      </c>
      <c r="H4" t="s">
        <v>48</v>
      </c>
    </row>
    <row r="5" spans="1:10" x14ac:dyDescent="0.4">
      <c r="A5" s="4">
        <v>2006</v>
      </c>
      <c r="B5" s="4">
        <v>53</v>
      </c>
      <c r="C5" s="4">
        <v>272</v>
      </c>
      <c r="D5" s="4">
        <v>5.132075471698113</v>
      </c>
      <c r="E5" s="4">
        <v>104.00145137880988</v>
      </c>
      <c r="G5" t="s">
        <v>47</v>
      </c>
      <c r="H5" t="s">
        <v>49</v>
      </c>
    </row>
    <row r="6" spans="1:10" x14ac:dyDescent="0.4">
      <c r="A6" s="4">
        <v>2007</v>
      </c>
      <c r="B6" s="4">
        <v>53</v>
      </c>
      <c r="C6" s="4">
        <v>380</v>
      </c>
      <c r="D6" s="4">
        <v>7.1698113207547172</v>
      </c>
      <c r="E6" s="4">
        <v>126.68214804063861</v>
      </c>
      <c r="G6" s="43" t="s">
        <v>50</v>
      </c>
      <c r="H6" s="43">
        <v>0.05</v>
      </c>
    </row>
    <row r="7" spans="1:10" x14ac:dyDescent="0.4">
      <c r="A7" s="4">
        <v>2008</v>
      </c>
      <c r="B7" s="4">
        <v>53</v>
      </c>
      <c r="C7" s="4">
        <v>445</v>
      </c>
      <c r="D7" s="4">
        <v>8.3962264150943398</v>
      </c>
      <c r="E7" s="4">
        <v>155.12844702467345</v>
      </c>
    </row>
    <row r="8" spans="1:10" x14ac:dyDescent="0.4">
      <c r="A8" s="4">
        <v>2009</v>
      </c>
      <c r="B8" s="4">
        <v>53</v>
      </c>
      <c r="C8" s="4">
        <v>112</v>
      </c>
      <c r="D8" s="4">
        <v>2.1132075471698113</v>
      </c>
      <c r="E8" s="4">
        <v>12.563860667634252</v>
      </c>
      <c r="G8" s="43" t="s">
        <v>51</v>
      </c>
      <c r="H8" t="s">
        <v>52</v>
      </c>
    </row>
    <row r="9" spans="1:10" x14ac:dyDescent="0.4">
      <c r="A9" s="4">
        <v>2010</v>
      </c>
      <c r="B9" s="4">
        <v>53</v>
      </c>
      <c r="C9" s="4">
        <v>111</v>
      </c>
      <c r="D9" s="4">
        <v>2.0943396226415096</v>
      </c>
      <c r="E9" s="4">
        <v>10.6255442670537</v>
      </c>
    </row>
    <row r="10" spans="1:10" x14ac:dyDescent="0.4">
      <c r="A10" s="4">
        <v>2011</v>
      </c>
      <c r="B10" s="4">
        <v>53</v>
      </c>
      <c r="C10" s="4">
        <v>158</v>
      </c>
      <c r="D10" s="4">
        <v>2.9811320754716979</v>
      </c>
      <c r="E10" s="4">
        <v>27.018867924528301</v>
      </c>
      <c r="G10" s="2" t="s">
        <v>53</v>
      </c>
      <c r="H10" s="2"/>
      <c r="I10" s="2"/>
      <c r="J10" s="2"/>
    </row>
    <row r="11" spans="1:10" x14ac:dyDescent="0.4">
      <c r="A11" s="4">
        <v>2012</v>
      </c>
      <c r="B11" s="4">
        <v>53</v>
      </c>
      <c r="C11" s="4">
        <v>479</v>
      </c>
      <c r="D11" s="4">
        <v>9.0377358490566042</v>
      </c>
      <c r="E11" s="4">
        <v>181.84470246734398</v>
      </c>
    </row>
    <row r="12" spans="1:10" x14ac:dyDescent="0.4">
      <c r="A12" s="4">
        <v>2013</v>
      </c>
      <c r="B12" s="4">
        <v>53</v>
      </c>
      <c r="C12" s="4">
        <v>379</v>
      </c>
      <c r="D12" s="4">
        <v>7.1509433962264151</v>
      </c>
      <c r="E12" s="4">
        <v>117.74600870827285</v>
      </c>
    </row>
    <row r="13" spans="1:10" x14ac:dyDescent="0.4">
      <c r="A13" s="4">
        <v>2014</v>
      </c>
      <c r="B13" s="4">
        <v>53</v>
      </c>
      <c r="C13" s="4">
        <v>801</v>
      </c>
      <c r="D13" s="4">
        <v>15.113207547169811</v>
      </c>
      <c r="E13" s="4">
        <v>508.02539912917268</v>
      </c>
    </row>
    <row r="14" spans="1:10" x14ac:dyDescent="0.4">
      <c r="A14" s="4">
        <v>2015</v>
      </c>
      <c r="B14" s="4">
        <v>53</v>
      </c>
      <c r="C14" s="4">
        <v>782</v>
      </c>
      <c r="D14" s="4">
        <v>14.754716981132075</v>
      </c>
      <c r="E14" s="4">
        <v>406.07329462989844</v>
      </c>
    </row>
    <row r="15" spans="1:10" ht="16.5" thickBot="1" x14ac:dyDescent="0.45">
      <c r="A15" s="5">
        <v>2016</v>
      </c>
      <c r="B15" s="5">
        <v>53</v>
      </c>
      <c r="C15" s="5">
        <v>370</v>
      </c>
      <c r="D15" s="5">
        <v>6.9811320754716979</v>
      </c>
      <c r="E15" s="5">
        <v>184.51886792452828</v>
      </c>
    </row>
    <row r="18" spans="1:7" ht="16.5" thickBot="1" x14ac:dyDescent="0.45">
      <c r="A18" t="s">
        <v>35</v>
      </c>
    </row>
    <row r="19" spans="1:7" x14ac:dyDescent="0.4">
      <c r="A19" s="6" t="s">
        <v>36</v>
      </c>
      <c r="B19" s="6" t="s">
        <v>37</v>
      </c>
      <c r="C19" s="6" t="s">
        <v>38</v>
      </c>
      <c r="D19" s="6" t="s">
        <v>39</v>
      </c>
      <c r="E19" s="28" t="s">
        <v>40</v>
      </c>
      <c r="F19" s="28" t="s">
        <v>41</v>
      </c>
      <c r="G19" s="28" t="s">
        <v>42</v>
      </c>
    </row>
    <row r="20" spans="1:7" x14ac:dyDescent="0.4">
      <c r="A20" s="4" t="s">
        <v>43</v>
      </c>
      <c r="B20" s="4">
        <v>10509.90394511151</v>
      </c>
      <c r="C20" s="4">
        <v>10</v>
      </c>
      <c r="D20" s="4">
        <v>1050.990394511151</v>
      </c>
      <c r="E20" s="29">
        <v>6.3028645333635165</v>
      </c>
      <c r="F20" s="29">
        <v>3.3137470062718939E-9</v>
      </c>
      <c r="G20" s="29">
        <v>1.8472469013215289</v>
      </c>
    </row>
    <row r="21" spans="1:7" x14ac:dyDescent="0.4">
      <c r="A21" s="4" t="s">
        <v>44</v>
      </c>
      <c r="B21" s="4">
        <v>95379.886792452846</v>
      </c>
      <c r="C21" s="4">
        <v>572</v>
      </c>
      <c r="D21" s="4">
        <v>166.74805383295953</v>
      </c>
      <c r="E21" s="4"/>
      <c r="F21" s="4"/>
      <c r="G21" s="4"/>
    </row>
    <row r="22" spans="1:7" x14ac:dyDescent="0.4">
      <c r="A22" s="4"/>
      <c r="B22" s="4"/>
      <c r="C22" s="4"/>
      <c r="D22" s="4"/>
      <c r="E22" s="4"/>
      <c r="F22" s="4"/>
      <c r="G22" s="4"/>
    </row>
    <row r="23" spans="1:7" ht="16.5" thickBot="1" x14ac:dyDescent="0.45">
      <c r="A23" s="5" t="s">
        <v>45</v>
      </c>
      <c r="B23" s="5">
        <v>105889.79073756436</v>
      </c>
      <c r="C23" s="5">
        <v>582</v>
      </c>
      <c r="D23" s="5"/>
      <c r="E23" s="5"/>
      <c r="F23" s="5"/>
      <c r="G23" s="5"/>
    </row>
  </sheetData>
  <mergeCells count="1">
    <mergeCell ref="G10:J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3A67-3DE8-CA48-AEEE-6382EED0E5FA}">
  <dimension ref="A1:P84"/>
  <sheetViews>
    <sheetView workbookViewId="0">
      <selection sqref="A1:M54"/>
    </sheetView>
  </sheetViews>
  <sheetFormatPr defaultColWidth="10.6640625" defaultRowHeight="16" x14ac:dyDescent="0.4"/>
  <cols>
    <col min="1" max="1" width="5.83203125" customWidth="1"/>
    <col min="2" max="2" width="13.75" customWidth="1"/>
    <col min="3" max="3" width="13.58203125" customWidth="1"/>
    <col min="4" max="4" width="15.25" customWidth="1"/>
    <col min="13" max="13" width="22" customWidth="1"/>
  </cols>
  <sheetData>
    <row r="1" spans="1:13" x14ac:dyDescent="0.4">
      <c r="A1" s="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 t="s">
        <v>1</v>
      </c>
    </row>
    <row r="2" spans="1:13" x14ac:dyDescent="0.4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f>(SUM(B2:L2)/11)</f>
        <v>0</v>
      </c>
    </row>
    <row r="3" spans="1:13" x14ac:dyDescent="0.4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f t="shared" ref="M3:M54" si="0">(SUM(B3:L3)/11)</f>
        <v>0</v>
      </c>
    </row>
    <row r="4" spans="1:13" x14ac:dyDescent="0.4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 t="shared" si="0"/>
        <v>0</v>
      </c>
    </row>
    <row r="5" spans="1:13" x14ac:dyDescent="0.4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f t="shared" si="0"/>
        <v>0</v>
      </c>
    </row>
    <row r="6" spans="1:13" x14ac:dyDescent="0.4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f t="shared" si="0"/>
        <v>0</v>
      </c>
    </row>
    <row r="7" spans="1:13" x14ac:dyDescent="0.4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f t="shared" si="0"/>
        <v>0</v>
      </c>
    </row>
    <row r="8" spans="1:13" x14ac:dyDescent="0.4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f t="shared" si="0"/>
        <v>0</v>
      </c>
    </row>
    <row r="9" spans="1:13" x14ac:dyDescent="0.4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f t="shared" si="0"/>
        <v>0</v>
      </c>
    </row>
    <row r="10" spans="1:13" x14ac:dyDescent="0.4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f t="shared" si="0"/>
        <v>9.0909090909090912E-2</v>
      </c>
    </row>
    <row r="11" spans="1:13" x14ac:dyDescent="0.4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f t="shared" si="0"/>
        <v>0</v>
      </c>
    </row>
    <row r="12" spans="1:13" x14ac:dyDescent="0.4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f t="shared" si="0"/>
        <v>0</v>
      </c>
    </row>
    <row r="13" spans="1:13" x14ac:dyDescent="0.4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f t="shared" si="0"/>
        <v>0</v>
      </c>
    </row>
    <row r="14" spans="1:13" x14ac:dyDescent="0.4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f t="shared" si="0"/>
        <v>0</v>
      </c>
    </row>
    <row r="15" spans="1:13" x14ac:dyDescent="0.4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f t="shared" si="0"/>
        <v>0</v>
      </c>
    </row>
    <row r="16" spans="1:13" x14ac:dyDescent="0.4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f t="shared" si="0"/>
        <v>0</v>
      </c>
    </row>
    <row r="17" spans="1:16" x14ac:dyDescent="0.4">
      <c r="A17" s="1">
        <v>16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f t="shared" si="0"/>
        <v>9.0909090909090912E-2</v>
      </c>
    </row>
    <row r="18" spans="1:16" x14ac:dyDescent="0.4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f t="shared" si="0"/>
        <v>0</v>
      </c>
    </row>
    <row r="19" spans="1:16" x14ac:dyDescent="0.4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f t="shared" si="0"/>
        <v>0</v>
      </c>
    </row>
    <row r="20" spans="1:16" x14ac:dyDescent="0.4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f t="shared" si="0"/>
        <v>0</v>
      </c>
    </row>
    <row r="21" spans="1:16" x14ac:dyDescent="0.4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f t="shared" si="0"/>
        <v>0</v>
      </c>
    </row>
    <row r="22" spans="1:16" x14ac:dyDescent="0.4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f t="shared" si="0"/>
        <v>0</v>
      </c>
    </row>
    <row r="23" spans="1:16" x14ac:dyDescent="0.4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f t="shared" si="0"/>
        <v>0</v>
      </c>
    </row>
    <row r="24" spans="1:16" x14ac:dyDescent="0.4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f t="shared" si="0"/>
        <v>0</v>
      </c>
    </row>
    <row r="25" spans="1:16" x14ac:dyDescent="0.4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f t="shared" si="0"/>
        <v>0</v>
      </c>
    </row>
    <row r="26" spans="1:16" x14ac:dyDescent="0.4">
      <c r="A26" s="1">
        <v>25</v>
      </c>
      <c r="B26">
        <v>1</v>
      </c>
      <c r="C26">
        <v>1</v>
      </c>
      <c r="D26">
        <v>1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0</v>
      </c>
      <c r="M26">
        <f t="shared" si="0"/>
        <v>0.45454545454545453</v>
      </c>
    </row>
    <row r="27" spans="1:16" x14ac:dyDescent="0.4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f t="shared" si="0"/>
        <v>9.0909090909090912E-2</v>
      </c>
    </row>
    <row r="28" spans="1:16" x14ac:dyDescent="0.4">
      <c r="A28" s="1">
        <v>27</v>
      </c>
      <c r="B28">
        <v>0</v>
      </c>
      <c r="C28">
        <v>2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3</v>
      </c>
      <c r="K28">
        <v>0</v>
      </c>
      <c r="L28">
        <v>0</v>
      </c>
      <c r="M28">
        <f>(SUM(B28:L28)/11)</f>
        <v>0.63636363636363635</v>
      </c>
    </row>
    <row r="29" spans="1:16" x14ac:dyDescent="0.4">
      <c r="A29" s="1">
        <v>28</v>
      </c>
      <c r="B29">
        <v>0</v>
      </c>
      <c r="C29">
        <v>6</v>
      </c>
      <c r="D29">
        <v>0</v>
      </c>
      <c r="E29">
        <v>0</v>
      </c>
      <c r="F29">
        <v>2</v>
      </c>
      <c r="G29">
        <v>0</v>
      </c>
      <c r="H29">
        <v>2</v>
      </c>
      <c r="I29">
        <v>0</v>
      </c>
      <c r="J29">
        <v>5</v>
      </c>
      <c r="K29">
        <v>0</v>
      </c>
      <c r="L29">
        <v>0</v>
      </c>
      <c r="M29">
        <f t="shared" si="0"/>
        <v>1.3636363636363635</v>
      </c>
    </row>
    <row r="30" spans="1:16" x14ac:dyDescent="0.4">
      <c r="A30" s="1">
        <v>29</v>
      </c>
      <c r="B30">
        <v>4</v>
      </c>
      <c r="C30">
        <v>18</v>
      </c>
      <c r="D30">
        <v>3</v>
      </c>
      <c r="E30">
        <v>1</v>
      </c>
      <c r="F30">
        <v>2</v>
      </c>
      <c r="G30">
        <v>1</v>
      </c>
      <c r="H30">
        <v>3</v>
      </c>
      <c r="I30">
        <v>0</v>
      </c>
      <c r="J30">
        <v>3</v>
      </c>
      <c r="K30">
        <v>1</v>
      </c>
      <c r="L30">
        <v>0</v>
      </c>
      <c r="M30">
        <f t="shared" si="0"/>
        <v>3.2727272727272729</v>
      </c>
    </row>
    <row r="31" spans="1:16" x14ac:dyDescent="0.4">
      <c r="A31" s="1">
        <v>30</v>
      </c>
      <c r="B31">
        <v>11</v>
      </c>
      <c r="C31">
        <v>15</v>
      </c>
      <c r="D31">
        <v>6</v>
      </c>
      <c r="E31">
        <v>1</v>
      </c>
      <c r="F31">
        <v>3</v>
      </c>
      <c r="G31">
        <v>0</v>
      </c>
      <c r="H31">
        <v>1</v>
      </c>
      <c r="I31">
        <v>3</v>
      </c>
      <c r="J31">
        <v>5</v>
      </c>
      <c r="K31">
        <v>9</v>
      </c>
      <c r="L31">
        <v>3</v>
      </c>
      <c r="M31">
        <f t="shared" si="0"/>
        <v>5.1818181818181817</v>
      </c>
      <c r="O31" s="1" t="s">
        <v>0</v>
      </c>
      <c r="P31" t="s">
        <v>1</v>
      </c>
    </row>
    <row r="32" spans="1:16" x14ac:dyDescent="0.4">
      <c r="A32" s="1">
        <v>31</v>
      </c>
      <c r="B32">
        <v>4</v>
      </c>
      <c r="C32">
        <v>22</v>
      </c>
      <c r="D32">
        <v>16</v>
      </c>
      <c r="E32">
        <v>3</v>
      </c>
      <c r="F32">
        <v>6</v>
      </c>
      <c r="G32">
        <v>6</v>
      </c>
      <c r="H32">
        <v>4</v>
      </c>
      <c r="I32">
        <v>10</v>
      </c>
      <c r="J32">
        <v>18</v>
      </c>
      <c r="K32">
        <v>12</v>
      </c>
      <c r="L32">
        <v>7</v>
      </c>
      <c r="M32">
        <f t="shared" si="0"/>
        <v>9.8181818181818183</v>
      </c>
      <c r="O32" s="1">
        <v>1</v>
      </c>
      <c r="P32">
        <f>(SUM(B2:L2)/11)</f>
        <v>0</v>
      </c>
    </row>
    <row r="33" spans="1:16" x14ac:dyDescent="0.4">
      <c r="A33" s="1">
        <v>32</v>
      </c>
      <c r="B33">
        <v>18</v>
      </c>
      <c r="C33">
        <v>22</v>
      </c>
      <c r="D33">
        <v>26</v>
      </c>
      <c r="E33">
        <v>5</v>
      </c>
      <c r="F33">
        <v>4</v>
      </c>
      <c r="G33">
        <v>3</v>
      </c>
      <c r="H33">
        <v>7</v>
      </c>
      <c r="I33">
        <v>4</v>
      </c>
      <c r="J33">
        <v>18</v>
      </c>
      <c r="K33">
        <v>24</v>
      </c>
      <c r="L33">
        <v>12</v>
      </c>
      <c r="M33">
        <f t="shared" si="0"/>
        <v>13</v>
      </c>
      <c r="O33" s="1">
        <v>2</v>
      </c>
      <c r="P33">
        <f t="shared" ref="P33:P84" si="1">(SUM(B3:L3)/11)</f>
        <v>0</v>
      </c>
    </row>
    <row r="34" spans="1:16" x14ac:dyDescent="0.4">
      <c r="A34" s="1">
        <v>33</v>
      </c>
      <c r="B34">
        <v>30</v>
      </c>
      <c r="C34">
        <v>34</v>
      </c>
      <c r="D34">
        <v>19</v>
      </c>
      <c r="E34">
        <v>0</v>
      </c>
      <c r="F34">
        <v>6</v>
      </c>
      <c r="G34">
        <v>2</v>
      </c>
      <c r="H34">
        <v>8</v>
      </c>
      <c r="I34">
        <v>19</v>
      </c>
      <c r="J34">
        <v>38</v>
      </c>
      <c r="K34">
        <v>31</v>
      </c>
      <c r="L34">
        <v>24</v>
      </c>
      <c r="M34">
        <f t="shared" si="0"/>
        <v>19.181818181818183</v>
      </c>
      <c r="O34" s="1">
        <v>3</v>
      </c>
      <c r="P34">
        <f t="shared" si="1"/>
        <v>0</v>
      </c>
    </row>
    <row r="35" spans="1:16" x14ac:dyDescent="0.4">
      <c r="A35" s="1">
        <v>34</v>
      </c>
      <c r="B35">
        <v>28</v>
      </c>
      <c r="C35">
        <v>27</v>
      </c>
      <c r="D35">
        <v>19</v>
      </c>
      <c r="E35">
        <v>9</v>
      </c>
      <c r="F35">
        <v>5</v>
      </c>
      <c r="G35">
        <v>7</v>
      </c>
      <c r="H35">
        <v>15</v>
      </c>
      <c r="I35">
        <v>22</v>
      </c>
      <c r="J35">
        <v>33</v>
      </c>
      <c r="K35">
        <v>20</v>
      </c>
      <c r="L35">
        <v>31</v>
      </c>
      <c r="M35">
        <f t="shared" si="0"/>
        <v>19.636363636363637</v>
      </c>
      <c r="O35" s="1">
        <v>4</v>
      </c>
      <c r="P35">
        <f t="shared" si="1"/>
        <v>0</v>
      </c>
    </row>
    <row r="36" spans="1:16" x14ac:dyDescent="0.4">
      <c r="A36" s="1">
        <v>35</v>
      </c>
      <c r="B36">
        <v>42</v>
      </c>
      <c r="C36">
        <v>25</v>
      </c>
      <c r="D36">
        <v>34</v>
      </c>
      <c r="E36">
        <v>7</v>
      </c>
      <c r="F36">
        <v>7</v>
      </c>
      <c r="G36">
        <v>8</v>
      </c>
      <c r="H36">
        <v>15</v>
      </c>
      <c r="I36">
        <v>27</v>
      </c>
      <c r="J36">
        <v>53</v>
      </c>
      <c r="K36">
        <v>19</v>
      </c>
      <c r="L36">
        <v>46</v>
      </c>
      <c r="M36">
        <f t="shared" si="0"/>
        <v>25.727272727272727</v>
      </c>
      <c r="O36" s="1">
        <v>5</v>
      </c>
      <c r="P36">
        <f t="shared" si="1"/>
        <v>0</v>
      </c>
    </row>
    <row r="37" spans="1:16" x14ac:dyDescent="0.4">
      <c r="A37" s="1">
        <v>36</v>
      </c>
      <c r="B37">
        <v>20</v>
      </c>
      <c r="C37">
        <v>26</v>
      </c>
      <c r="D37">
        <v>30</v>
      </c>
      <c r="E37">
        <v>8</v>
      </c>
      <c r="F37">
        <v>3</v>
      </c>
      <c r="G37">
        <v>6</v>
      </c>
      <c r="H37">
        <v>19</v>
      </c>
      <c r="I37">
        <v>15</v>
      </c>
      <c r="J37">
        <v>53</v>
      </c>
      <c r="K37">
        <v>31</v>
      </c>
      <c r="L37">
        <v>32</v>
      </c>
      <c r="M37">
        <f t="shared" si="0"/>
        <v>22.09090909090909</v>
      </c>
      <c r="O37" s="1">
        <v>6</v>
      </c>
      <c r="P37">
        <f t="shared" si="1"/>
        <v>0</v>
      </c>
    </row>
    <row r="38" spans="1:16" x14ac:dyDescent="0.4">
      <c r="A38" s="1">
        <v>37</v>
      </c>
      <c r="B38">
        <v>38</v>
      </c>
      <c r="C38">
        <v>33</v>
      </c>
      <c r="D38">
        <v>37</v>
      </c>
      <c r="E38">
        <v>13</v>
      </c>
      <c r="F38">
        <v>7</v>
      </c>
      <c r="G38">
        <v>15</v>
      </c>
      <c r="H38">
        <v>39</v>
      </c>
      <c r="I38">
        <v>16</v>
      </c>
      <c r="J38">
        <v>71</v>
      </c>
      <c r="K38">
        <v>34</v>
      </c>
      <c r="L38">
        <v>44</v>
      </c>
      <c r="M38">
        <f t="shared" si="0"/>
        <v>31.545454545454547</v>
      </c>
      <c r="O38" s="1">
        <v>7</v>
      </c>
      <c r="P38">
        <f>(SUM(B8:L8)/11)</f>
        <v>0</v>
      </c>
    </row>
    <row r="39" spans="1:16" x14ac:dyDescent="0.4">
      <c r="A39" s="1">
        <v>38</v>
      </c>
      <c r="B39">
        <v>18</v>
      </c>
      <c r="C39">
        <v>25</v>
      </c>
      <c r="D39">
        <v>38</v>
      </c>
      <c r="E39">
        <v>12</v>
      </c>
      <c r="F39">
        <v>7</v>
      </c>
      <c r="G39">
        <v>19</v>
      </c>
      <c r="H39">
        <v>32</v>
      </c>
      <c r="I39">
        <v>33</v>
      </c>
      <c r="J39">
        <v>64</v>
      </c>
      <c r="K39">
        <v>52</v>
      </c>
      <c r="L39">
        <v>35</v>
      </c>
      <c r="M39">
        <f t="shared" si="0"/>
        <v>30.454545454545453</v>
      </c>
      <c r="O39" s="1">
        <v>8</v>
      </c>
      <c r="P39">
        <f t="shared" si="1"/>
        <v>0</v>
      </c>
    </row>
    <row r="40" spans="1:16" x14ac:dyDescent="0.4">
      <c r="A40" s="1">
        <v>39</v>
      </c>
      <c r="B40">
        <v>22</v>
      </c>
      <c r="C40">
        <v>34</v>
      </c>
      <c r="D40">
        <v>38</v>
      </c>
      <c r="E40">
        <v>9</v>
      </c>
      <c r="F40">
        <v>10</v>
      </c>
      <c r="G40">
        <v>20</v>
      </c>
      <c r="H40">
        <v>34</v>
      </c>
      <c r="I40">
        <v>26</v>
      </c>
      <c r="J40">
        <v>56</v>
      </c>
      <c r="K40">
        <v>67</v>
      </c>
      <c r="L40">
        <v>42</v>
      </c>
      <c r="M40">
        <f t="shared" si="0"/>
        <v>32.545454545454547</v>
      </c>
      <c r="O40" s="1">
        <v>9</v>
      </c>
      <c r="P40">
        <f t="shared" si="1"/>
        <v>9.0909090909090912E-2</v>
      </c>
    </row>
    <row r="41" spans="1:16" x14ac:dyDescent="0.4">
      <c r="A41" s="1">
        <v>40</v>
      </c>
      <c r="B41">
        <v>5</v>
      </c>
      <c r="C41">
        <v>32</v>
      </c>
      <c r="D41">
        <v>23</v>
      </c>
      <c r="E41">
        <v>9</v>
      </c>
      <c r="F41">
        <v>5</v>
      </c>
      <c r="G41">
        <v>17</v>
      </c>
      <c r="H41">
        <v>48</v>
      </c>
      <c r="I41">
        <v>29</v>
      </c>
      <c r="J41">
        <v>55</v>
      </c>
      <c r="K41">
        <v>60</v>
      </c>
      <c r="L41">
        <v>34</v>
      </c>
      <c r="M41">
        <f t="shared" si="0"/>
        <v>28.818181818181817</v>
      </c>
      <c r="O41" s="1">
        <v>10</v>
      </c>
      <c r="P41">
        <f t="shared" si="1"/>
        <v>0</v>
      </c>
    </row>
    <row r="42" spans="1:16" x14ac:dyDescent="0.4">
      <c r="A42" s="1">
        <v>41</v>
      </c>
      <c r="B42">
        <v>11</v>
      </c>
      <c r="C42">
        <v>21</v>
      </c>
      <c r="D42">
        <v>34</v>
      </c>
      <c r="E42">
        <v>6</v>
      </c>
      <c r="F42">
        <v>2</v>
      </c>
      <c r="G42">
        <v>9</v>
      </c>
      <c r="H42">
        <v>35</v>
      </c>
      <c r="I42">
        <v>31</v>
      </c>
      <c r="J42">
        <v>74</v>
      </c>
      <c r="K42">
        <v>45</v>
      </c>
      <c r="L42">
        <v>17</v>
      </c>
      <c r="M42">
        <f t="shared" si="0"/>
        <v>25.90909090909091</v>
      </c>
      <c r="O42" s="1">
        <v>11</v>
      </c>
      <c r="P42">
        <f t="shared" si="1"/>
        <v>0</v>
      </c>
    </row>
    <row r="43" spans="1:16" x14ac:dyDescent="0.4">
      <c r="A43" s="1">
        <v>42</v>
      </c>
      <c r="B43">
        <v>4</v>
      </c>
      <c r="C43">
        <v>10</v>
      </c>
      <c r="D43">
        <v>2</v>
      </c>
      <c r="E43">
        <v>9</v>
      </c>
      <c r="F43">
        <v>14</v>
      </c>
      <c r="G43">
        <v>9</v>
      </c>
      <c r="H43">
        <v>35</v>
      </c>
      <c r="I43">
        <v>36</v>
      </c>
      <c r="J43">
        <v>46</v>
      </c>
      <c r="K43">
        <v>51</v>
      </c>
      <c r="L43">
        <v>20</v>
      </c>
      <c r="M43">
        <f t="shared" si="0"/>
        <v>21.454545454545453</v>
      </c>
      <c r="O43" s="1">
        <v>12</v>
      </c>
      <c r="P43">
        <f t="shared" si="1"/>
        <v>0</v>
      </c>
    </row>
    <row r="44" spans="1:16" x14ac:dyDescent="0.4">
      <c r="A44" s="1">
        <v>43</v>
      </c>
      <c r="B44">
        <v>6</v>
      </c>
      <c r="C44">
        <v>7</v>
      </c>
      <c r="D44">
        <v>14</v>
      </c>
      <c r="E44">
        <v>5</v>
      </c>
      <c r="F44">
        <v>11</v>
      </c>
      <c r="G44">
        <v>7</v>
      </c>
      <c r="H44">
        <v>38</v>
      </c>
      <c r="I44">
        <v>25</v>
      </c>
      <c r="J44">
        <v>45</v>
      </c>
      <c r="K44">
        <v>52</v>
      </c>
      <c r="L44">
        <v>23</v>
      </c>
      <c r="M44">
        <f t="shared" si="0"/>
        <v>21.181818181818183</v>
      </c>
      <c r="O44" s="1">
        <v>13</v>
      </c>
      <c r="P44">
        <f t="shared" si="1"/>
        <v>0</v>
      </c>
    </row>
    <row r="45" spans="1:16" x14ac:dyDescent="0.4">
      <c r="A45" s="1">
        <v>44</v>
      </c>
      <c r="B45">
        <v>3</v>
      </c>
      <c r="C45">
        <v>7</v>
      </c>
      <c r="D45">
        <v>10</v>
      </c>
      <c r="E45">
        <v>3</v>
      </c>
      <c r="F45">
        <v>3</v>
      </c>
      <c r="G45">
        <v>11</v>
      </c>
      <c r="H45">
        <v>38</v>
      </c>
      <c r="I45">
        <v>22</v>
      </c>
      <c r="J45">
        <v>52</v>
      </c>
      <c r="K45">
        <v>40</v>
      </c>
      <c r="L45">
        <v>0</v>
      </c>
      <c r="M45">
        <f t="shared" si="0"/>
        <v>17.181818181818183</v>
      </c>
      <c r="O45" s="1">
        <v>14</v>
      </c>
      <c r="P45">
        <f t="shared" si="1"/>
        <v>0</v>
      </c>
    </row>
    <row r="46" spans="1:16" x14ac:dyDescent="0.4">
      <c r="A46" s="1">
        <v>45</v>
      </c>
      <c r="B46">
        <v>3</v>
      </c>
      <c r="C46">
        <v>4</v>
      </c>
      <c r="D46">
        <v>25</v>
      </c>
      <c r="E46">
        <v>2</v>
      </c>
      <c r="F46">
        <v>1</v>
      </c>
      <c r="G46">
        <v>5</v>
      </c>
      <c r="H46">
        <v>22</v>
      </c>
      <c r="I46">
        <v>20</v>
      </c>
      <c r="J46">
        <v>28</v>
      </c>
      <c r="K46">
        <v>39</v>
      </c>
      <c r="L46">
        <v>0</v>
      </c>
      <c r="M46">
        <f t="shared" si="0"/>
        <v>13.545454545454545</v>
      </c>
      <c r="O46" s="1">
        <v>15</v>
      </c>
      <c r="P46">
        <f t="shared" si="1"/>
        <v>0</v>
      </c>
    </row>
    <row r="47" spans="1:16" x14ac:dyDescent="0.4">
      <c r="A47" s="1">
        <v>46</v>
      </c>
      <c r="B47">
        <v>3</v>
      </c>
      <c r="C47">
        <v>3</v>
      </c>
      <c r="D47">
        <v>12</v>
      </c>
      <c r="E47">
        <v>1</v>
      </c>
      <c r="F47">
        <v>0</v>
      </c>
      <c r="G47">
        <v>5</v>
      </c>
      <c r="H47">
        <v>18</v>
      </c>
      <c r="I47">
        <v>10</v>
      </c>
      <c r="J47">
        <v>16</v>
      </c>
      <c r="K47">
        <v>36</v>
      </c>
      <c r="L47">
        <v>0</v>
      </c>
      <c r="M47">
        <f t="shared" si="0"/>
        <v>9.454545454545455</v>
      </c>
      <c r="O47" s="1">
        <v>16</v>
      </c>
      <c r="P47">
        <f t="shared" si="1"/>
        <v>9.0909090909090912E-2</v>
      </c>
    </row>
    <row r="48" spans="1:16" x14ac:dyDescent="0.4">
      <c r="A48" s="1">
        <v>47</v>
      </c>
      <c r="B48">
        <v>0</v>
      </c>
      <c r="C48">
        <v>0</v>
      </c>
      <c r="D48">
        <v>7</v>
      </c>
      <c r="E48">
        <v>0</v>
      </c>
      <c r="F48">
        <v>2</v>
      </c>
      <c r="G48">
        <v>1</v>
      </c>
      <c r="H48">
        <v>7</v>
      </c>
      <c r="I48">
        <v>7</v>
      </c>
      <c r="J48">
        <v>9</v>
      </c>
      <c r="K48">
        <v>14</v>
      </c>
      <c r="L48">
        <v>0</v>
      </c>
      <c r="M48">
        <f t="shared" si="0"/>
        <v>4.2727272727272725</v>
      </c>
      <c r="O48" s="1">
        <v>17</v>
      </c>
      <c r="P48">
        <f t="shared" si="1"/>
        <v>0</v>
      </c>
    </row>
    <row r="49" spans="1:16" x14ac:dyDescent="0.4">
      <c r="A49" s="1">
        <v>48</v>
      </c>
      <c r="B49">
        <v>1</v>
      </c>
      <c r="C49">
        <v>2</v>
      </c>
      <c r="D49">
        <v>1</v>
      </c>
      <c r="E49">
        <v>1</v>
      </c>
      <c r="F49">
        <v>3</v>
      </c>
      <c r="G49">
        <v>3</v>
      </c>
      <c r="H49">
        <v>10</v>
      </c>
      <c r="I49">
        <v>4</v>
      </c>
      <c r="J49">
        <v>7</v>
      </c>
      <c r="K49">
        <v>38</v>
      </c>
      <c r="L49">
        <v>0</v>
      </c>
      <c r="M49">
        <f t="shared" si="0"/>
        <v>6.3636363636363633</v>
      </c>
      <c r="O49" s="1">
        <v>18</v>
      </c>
      <c r="P49">
        <f t="shared" si="1"/>
        <v>0</v>
      </c>
    </row>
    <row r="50" spans="1:16" x14ac:dyDescent="0.4">
      <c r="A50" s="1">
        <v>49</v>
      </c>
      <c r="B50">
        <v>0</v>
      </c>
      <c r="C50">
        <v>2</v>
      </c>
      <c r="D50">
        <v>10</v>
      </c>
      <c r="E50">
        <v>1</v>
      </c>
      <c r="F50">
        <v>2</v>
      </c>
      <c r="G50">
        <v>0</v>
      </c>
      <c r="H50">
        <v>12</v>
      </c>
      <c r="I50">
        <v>3</v>
      </c>
      <c r="J50">
        <v>22</v>
      </c>
      <c r="K50">
        <v>27</v>
      </c>
      <c r="L50">
        <v>0</v>
      </c>
      <c r="M50">
        <f t="shared" si="0"/>
        <v>7.1818181818181817</v>
      </c>
      <c r="O50" s="1">
        <v>19</v>
      </c>
      <c r="P50">
        <f t="shared" si="1"/>
        <v>0</v>
      </c>
    </row>
    <row r="51" spans="1:16" x14ac:dyDescent="0.4">
      <c r="A51" s="1">
        <v>50</v>
      </c>
      <c r="B51">
        <v>0</v>
      </c>
      <c r="C51">
        <v>1</v>
      </c>
      <c r="D51">
        <v>4</v>
      </c>
      <c r="E51">
        <v>1</v>
      </c>
      <c r="F51">
        <v>0</v>
      </c>
      <c r="G51">
        <v>1</v>
      </c>
      <c r="H51">
        <v>8</v>
      </c>
      <c r="I51">
        <v>3</v>
      </c>
      <c r="J51">
        <v>4</v>
      </c>
      <c r="K51">
        <v>28</v>
      </c>
      <c r="L51">
        <v>0</v>
      </c>
      <c r="M51">
        <f>(SUM(B51:L51)/11)</f>
        <v>4.5454545454545459</v>
      </c>
      <c r="O51" s="1">
        <v>20</v>
      </c>
      <c r="P51">
        <f t="shared" si="1"/>
        <v>0</v>
      </c>
    </row>
    <row r="52" spans="1:16" x14ac:dyDescent="0.4">
      <c r="A52" s="1">
        <v>51</v>
      </c>
      <c r="B52">
        <v>0</v>
      </c>
      <c r="C52">
        <v>0</v>
      </c>
      <c r="D52">
        <v>5</v>
      </c>
      <c r="E52">
        <v>1</v>
      </c>
      <c r="F52">
        <v>0</v>
      </c>
      <c r="G52">
        <v>0</v>
      </c>
      <c r="H52">
        <v>12</v>
      </c>
      <c r="I52">
        <v>9</v>
      </c>
      <c r="J52">
        <v>2</v>
      </c>
      <c r="K52">
        <v>4</v>
      </c>
      <c r="L52">
        <v>0</v>
      </c>
      <c r="M52">
        <f t="shared" si="0"/>
        <v>3</v>
      </c>
      <c r="O52" s="1">
        <v>21</v>
      </c>
      <c r="P52">
        <f t="shared" si="1"/>
        <v>0</v>
      </c>
    </row>
    <row r="53" spans="1:16" x14ac:dyDescent="0.4">
      <c r="A53" s="1">
        <v>52</v>
      </c>
      <c r="B53">
        <v>0</v>
      </c>
      <c r="C53">
        <v>0</v>
      </c>
      <c r="D53">
        <v>0</v>
      </c>
      <c r="E53">
        <v>5</v>
      </c>
      <c r="F53">
        <v>1</v>
      </c>
      <c r="G53">
        <v>3</v>
      </c>
      <c r="H53">
        <v>13</v>
      </c>
      <c r="I53">
        <v>0</v>
      </c>
      <c r="J53">
        <v>19</v>
      </c>
      <c r="K53">
        <v>48</v>
      </c>
      <c r="L53">
        <v>0</v>
      </c>
      <c r="M53">
        <f t="shared" si="0"/>
        <v>8.0909090909090917</v>
      </c>
      <c r="O53" s="1">
        <v>22</v>
      </c>
      <c r="P53">
        <f t="shared" si="1"/>
        <v>0</v>
      </c>
    </row>
    <row r="54" spans="1:16" x14ac:dyDescent="0.4">
      <c r="A54" s="1">
        <v>53</v>
      </c>
      <c r="B54">
        <v>0</v>
      </c>
      <c r="C54">
        <v>0</v>
      </c>
      <c r="D54">
        <v>29</v>
      </c>
      <c r="E54">
        <v>0</v>
      </c>
      <c r="F54">
        <v>5</v>
      </c>
      <c r="G54">
        <v>0</v>
      </c>
      <c r="H54">
        <v>3</v>
      </c>
      <c r="I54">
        <v>4</v>
      </c>
      <c r="J54">
        <v>0</v>
      </c>
      <c r="K54">
        <v>0</v>
      </c>
      <c r="L54">
        <v>0</v>
      </c>
      <c r="M54">
        <f t="shared" si="0"/>
        <v>3.7272727272727271</v>
      </c>
      <c r="O54" s="1">
        <v>23</v>
      </c>
      <c r="P54">
        <f t="shared" si="1"/>
        <v>0</v>
      </c>
    </row>
    <row r="55" spans="1:16" x14ac:dyDescent="0.4">
      <c r="O55" s="1">
        <v>24</v>
      </c>
      <c r="P55">
        <f t="shared" si="1"/>
        <v>0</v>
      </c>
    </row>
    <row r="56" spans="1:16" x14ac:dyDescent="0.4">
      <c r="O56" s="1">
        <v>25</v>
      </c>
      <c r="P56">
        <f t="shared" si="1"/>
        <v>0.45454545454545453</v>
      </c>
    </row>
    <row r="57" spans="1:16" x14ac:dyDescent="0.4">
      <c r="O57" s="1">
        <v>26</v>
      </c>
      <c r="P57">
        <f t="shared" si="1"/>
        <v>9.0909090909090912E-2</v>
      </c>
    </row>
    <row r="58" spans="1:16" x14ac:dyDescent="0.4">
      <c r="O58" s="1">
        <v>27</v>
      </c>
      <c r="P58">
        <f t="shared" si="1"/>
        <v>0.63636363636363635</v>
      </c>
    </row>
    <row r="59" spans="1:16" x14ac:dyDescent="0.4">
      <c r="O59" s="1">
        <v>28</v>
      </c>
      <c r="P59">
        <f t="shared" si="1"/>
        <v>1.3636363636363635</v>
      </c>
    </row>
    <row r="60" spans="1:16" x14ac:dyDescent="0.4">
      <c r="O60" s="1">
        <v>29</v>
      </c>
      <c r="P60">
        <f t="shared" si="1"/>
        <v>3.2727272727272729</v>
      </c>
    </row>
    <row r="61" spans="1:16" x14ac:dyDescent="0.4">
      <c r="O61" s="1">
        <v>30</v>
      </c>
      <c r="P61">
        <f t="shared" si="1"/>
        <v>5.1818181818181817</v>
      </c>
    </row>
    <row r="62" spans="1:16" x14ac:dyDescent="0.4">
      <c r="O62" s="1">
        <v>31</v>
      </c>
      <c r="P62">
        <f t="shared" si="1"/>
        <v>9.8181818181818183</v>
      </c>
    </row>
    <row r="63" spans="1:16" x14ac:dyDescent="0.4">
      <c r="O63" s="1">
        <v>32</v>
      </c>
      <c r="P63">
        <f t="shared" si="1"/>
        <v>13</v>
      </c>
    </row>
    <row r="64" spans="1:16" x14ac:dyDescent="0.4">
      <c r="O64" s="1">
        <v>33</v>
      </c>
      <c r="P64">
        <f t="shared" si="1"/>
        <v>19.181818181818183</v>
      </c>
    </row>
    <row r="65" spans="2:16" x14ac:dyDescent="0.4">
      <c r="O65" s="1">
        <v>34</v>
      </c>
      <c r="P65">
        <f t="shared" si="1"/>
        <v>19.636363636363637</v>
      </c>
    </row>
    <row r="66" spans="2:16" x14ac:dyDescent="0.4">
      <c r="O66" s="1">
        <v>35</v>
      </c>
      <c r="P66">
        <f t="shared" si="1"/>
        <v>25.727272727272727</v>
      </c>
    </row>
    <row r="67" spans="2:16" x14ac:dyDescent="0.4">
      <c r="O67" s="1">
        <v>36</v>
      </c>
      <c r="P67">
        <f t="shared" si="1"/>
        <v>22.09090909090909</v>
      </c>
    </row>
    <row r="68" spans="2:16" x14ac:dyDescent="0.4">
      <c r="O68" s="1">
        <v>37</v>
      </c>
      <c r="P68">
        <f t="shared" si="1"/>
        <v>31.545454545454547</v>
      </c>
    </row>
    <row r="69" spans="2:16" x14ac:dyDescent="0.4">
      <c r="O69" s="1">
        <v>38</v>
      </c>
      <c r="P69">
        <f t="shared" si="1"/>
        <v>30.454545454545453</v>
      </c>
    </row>
    <row r="70" spans="2:16" ht="32.5" customHeight="1" x14ac:dyDescent="0.4">
      <c r="B70" s="3" t="s">
        <v>16</v>
      </c>
      <c r="C70" s="3"/>
      <c r="D70" s="3"/>
      <c r="O70" s="1">
        <v>39</v>
      </c>
      <c r="P70">
        <f t="shared" si="1"/>
        <v>32.545454545454547</v>
      </c>
    </row>
    <row r="71" spans="2:16" x14ac:dyDescent="0.4">
      <c r="C71" t="s">
        <v>3</v>
      </c>
      <c r="D71" t="s">
        <v>4</v>
      </c>
      <c r="O71" s="1">
        <v>40</v>
      </c>
      <c r="P71">
        <f t="shared" si="1"/>
        <v>28.818181818181817</v>
      </c>
    </row>
    <row r="72" spans="2:16" x14ac:dyDescent="0.4">
      <c r="B72" t="s">
        <v>2</v>
      </c>
      <c r="C72">
        <v>1</v>
      </c>
      <c r="D72">
        <v>5</v>
      </c>
      <c r="O72" s="1">
        <v>41</v>
      </c>
      <c r="P72">
        <f t="shared" si="1"/>
        <v>25.90909090909091</v>
      </c>
    </row>
    <row r="73" spans="2:16" x14ac:dyDescent="0.4">
      <c r="B73" t="s">
        <v>5</v>
      </c>
      <c r="C73">
        <v>5</v>
      </c>
      <c r="D73">
        <v>9</v>
      </c>
      <c r="O73" s="1">
        <v>42</v>
      </c>
      <c r="P73">
        <f t="shared" si="1"/>
        <v>21.454545454545453</v>
      </c>
    </row>
    <row r="74" spans="2:16" x14ac:dyDescent="0.4">
      <c r="B74" t="s">
        <v>6</v>
      </c>
      <c r="C74">
        <v>9</v>
      </c>
      <c r="D74">
        <v>14</v>
      </c>
      <c r="O74" s="1">
        <v>43</v>
      </c>
      <c r="P74">
        <f t="shared" si="1"/>
        <v>21.181818181818183</v>
      </c>
    </row>
    <row r="75" spans="2:16" x14ac:dyDescent="0.4">
      <c r="B75" t="s">
        <v>7</v>
      </c>
      <c r="C75">
        <v>14</v>
      </c>
      <c r="D75">
        <v>18</v>
      </c>
      <c r="O75" s="1">
        <v>44</v>
      </c>
      <c r="P75">
        <f t="shared" si="1"/>
        <v>17.181818181818183</v>
      </c>
    </row>
    <row r="76" spans="2:16" x14ac:dyDescent="0.4">
      <c r="B76" t="s">
        <v>8</v>
      </c>
      <c r="C76">
        <v>18</v>
      </c>
      <c r="D76">
        <v>22</v>
      </c>
      <c r="O76" s="1">
        <v>45</v>
      </c>
      <c r="P76">
        <f t="shared" si="1"/>
        <v>13.545454545454545</v>
      </c>
    </row>
    <row r="77" spans="2:16" x14ac:dyDescent="0.4">
      <c r="B77" t="s">
        <v>9</v>
      </c>
      <c r="C77">
        <v>22</v>
      </c>
      <c r="D77">
        <v>27</v>
      </c>
      <c r="O77" s="1">
        <v>46</v>
      </c>
      <c r="P77">
        <f t="shared" si="1"/>
        <v>9.454545454545455</v>
      </c>
    </row>
    <row r="78" spans="2:16" x14ac:dyDescent="0.4">
      <c r="B78" t="s">
        <v>10</v>
      </c>
      <c r="C78">
        <v>27</v>
      </c>
      <c r="D78">
        <v>31</v>
      </c>
      <c r="O78" s="1">
        <v>47</v>
      </c>
      <c r="P78">
        <f t="shared" si="1"/>
        <v>4.2727272727272725</v>
      </c>
    </row>
    <row r="79" spans="2:16" x14ac:dyDescent="0.4">
      <c r="B79" t="s">
        <v>11</v>
      </c>
      <c r="C79">
        <v>31</v>
      </c>
      <c r="D79">
        <v>35</v>
      </c>
      <c r="O79" s="1">
        <v>48</v>
      </c>
      <c r="P79">
        <f t="shared" si="1"/>
        <v>6.3636363636363633</v>
      </c>
    </row>
    <row r="80" spans="2:16" x14ac:dyDescent="0.4">
      <c r="B80" t="s">
        <v>12</v>
      </c>
      <c r="C80">
        <v>36</v>
      </c>
      <c r="D80">
        <v>40</v>
      </c>
      <c r="O80" s="1">
        <v>49</v>
      </c>
      <c r="P80">
        <f t="shared" si="1"/>
        <v>7.1818181818181817</v>
      </c>
    </row>
    <row r="81" spans="2:16" x14ac:dyDescent="0.4">
      <c r="B81" t="s">
        <v>13</v>
      </c>
      <c r="C81">
        <v>40</v>
      </c>
      <c r="D81">
        <v>44</v>
      </c>
      <c r="O81" s="1">
        <v>50</v>
      </c>
      <c r="P81">
        <f t="shared" si="1"/>
        <v>4.5454545454545459</v>
      </c>
    </row>
    <row r="82" spans="2:16" x14ac:dyDescent="0.4">
      <c r="B82" t="s">
        <v>14</v>
      </c>
      <c r="C82">
        <v>44</v>
      </c>
      <c r="D82">
        <v>48</v>
      </c>
      <c r="O82" s="1">
        <v>51</v>
      </c>
      <c r="P82">
        <f t="shared" si="1"/>
        <v>3</v>
      </c>
    </row>
    <row r="83" spans="2:16" x14ac:dyDescent="0.4">
      <c r="B83" t="s">
        <v>15</v>
      </c>
      <c r="C83">
        <v>49</v>
      </c>
      <c r="D83">
        <v>53</v>
      </c>
      <c r="O83" s="1">
        <v>52</v>
      </c>
      <c r="P83">
        <f t="shared" si="1"/>
        <v>8.0909090909090917</v>
      </c>
    </row>
    <row r="84" spans="2:16" x14ac:dyDescent="0.4">
      <c r="O84" s="1">
        <v>53</v>
      </c>
      <c r="P84">
        <f t="shared" si="1"/>
        <v>3.7272727272727271</v>
      </c>
    </row>
  </sheetData>
  <mergeCells count="1">
    <mergeCell ref="B70:D70"/>
  </mergeCells>
  <phoneticPr fontId="20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226CD-7915-4AF1-A46E-FCFA04D9CD70}">
  <dimension ref="A1:V111"/>
  <sheetViews>
    <sheetView tabSelected="1" workbookViewId="0">
      <selection activeCell="T28" sqref="T28"/>
    </sheetView>
  </sheetViews>
  <sheetFormatPr defaultRowHeight="16" x14ac:dyDescent="0.4"/>
  <cols>
    <col min="12" max="12" width="20.9140625" customWidth="1"/>
    <col min="14" max="14" width="12.25" customWidth="1"/>
    <col min="16" max="16" width="15.9140625" customWidth="1"/>
    <col min="17" max="17" width="21.9140625" customWidth="1"/>
    <col min="18" max="18" width="18.75" customWidth="1"/>
    <col min="20" max="20" width="16.83203125" customWidth="1"/>
    <col min="21" max="21" width="16.75" customWidth="1"/>
    <col min="22" max="22" width="17.1640625" customWidth="1"/>
  </cols>
  <sheetData>
    <row r="1" spans="1:22" x14ac:dyDescent="0.4">
      <c r="A1" s="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2013</v>
      </c>
      <c r="I1">
        <v>2014</v>
      </c>
      <c r="J1">
        <v>2015</v>
      </c>
      <c r="K1">
        <v>2016</v>
      </c>
      <c r="L1" s="44" t="s">
        <v>1</v>
      </c>
      <c r="M1" s="44">
        <v>2012</v>
      </c>
      <c r="N1" s="44" t="s">
        <v>54</v>
      </c>
      <c r="P1" t="s">
        <v>63</v>
      </c>
      <c r="T1" t="s">
        <v>65</v>
      </c>
    </row>
    <row r="2" spans="1:22" ht="16.5" thickBot="1" x14ac:dyDescent="0.45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44">
        <f>(SUM(B2:K2)/10)</f>
        <v>0</v>
      </c>
      <c r="M2" s="44">
        <v>0</v>
      </c>
      <c r="N2">
        <f>L2-M2</f>
        <v>0</v>
      </c>
    </row>
    <row r="3" spans="1:22" x14ac:dyDescent="0.4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s="44">
        <f t="shared" ref="L3:L54" si="0">(SUM(B3:K3)/10)</f>
        <v>0</v>
      </c>
      <c r="M3" s="44">
        <v>0</v>
      </c>
      <c r="N3">
        <f t="shared" ref="N3:N54" si="1">L3-M3</f>
        <v>0</v>
      </c>
      <c r="P3" s="6"/>
      <c r="Q3" s="6" t="s">
        <v>1</v>
      </c>
      <c r="R3" s="6">
        <v>2012</v>
      </c>
      <c r="T3" s="6"/>
      <c r="U3" s="6" t="s">
        <v>1</v>
      </c>
      <c r="V3" s="6">
        <v>2015</v>
      </c>
    </row>
    <row r="4" spans="1:22" x14ac:dyDescent="0.4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44">
        <f t="shared" si="0"/>
        <v>0</v>
      </c>
      <c r="M4" s="44">
        <v>0</v>
      </c>
      <c r="N4">
        <f t="shared" si="1"/>
        <v>0</v>
      </c>
      <c r="P4" s="4" t="s">
        <v>17</v>
      </c>
      <c r="Q4" s="4">
        <v>7.188679245283021</v>
      </c>
      <c r="R4" s="4">
        <v>9.0377358490566042</v>
      </c>
      <c r="T4" s="4" t="s">
        <v>17</v>
      </c>
      <c r="U4" s="4">
        <v>6.6169811320754715</v>
      </c>
      <c r="V4" s="4">
        <v>14.754716981132075</v>
      </c>
    </row>
    <row r="5" spans="1:22" x14ac:dyDescent="0.4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44">
        <f t="shared" si="0"/>
        <v>0</v>
      </c>
      <c r="M5" s="44">
        <v>0</v>
      </c>
      <c r="N5">
        <f t="shared" si="1"/>
        <v>0</v>
      </c>
      <c r="P5" s="4" t="s">
        <v>34</v>
      </c>
      <c r="Q5" s="4">
        <v>102.6675616835994</v>
      </c>
      <c r="R5" s="4">
        <v>181.84470246734398</v>
      </c>
      <c r="T5" s="4" t="s">
        <v>34</v>
      </c>
      <c r="U5" s="4">
        <v>92.771052249637165</v>
      </c>
      <c r="V5" s="4">
        <v>406.07329462989844</v>
      </c>
    </row>
    <row r="6" spans="1:22" x14ac:dyDescent="0.4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44">
        <f t="shared" si="0"/>
        <v>0</v>
      </c>
      <c r="M6" s="44">
        <v>0</v>
      </c>
      <c r="N6">
        <f t="shared" si="1"/>
        <v>0</v>
      </c>
      <c r="P6" s="4" t="s">
        <v>55</v>
      </c>
      <c r="Q6" s="4">
        <v>53</v>
      </c>
      <c r="R6" s="4">
        <v>53</v>
      </c>
      <c r="T6" s="4" t="s">
        <v>55</v>
      </c>
      <c r="U6" s="4">
        <v>53</v>
      </c>
      <c r="V6" s="4">
        <v>53</v>
      </c>
    </row>
    <row r="7" spans="1:22" x14ac:dyDescent="0.4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44">
        <f t="shared" si="0"/>
        <v>0</v>
      </c>
      <c r="M7" s="44">
        <v>0</v>
      </c>
      <c r="N7">
        <f t="shared" si="1"/>
        <v>0</v>
      </c>
      <c r="P7" s="4" t="s">
        <v>62</v>
      </c>
      <c r="Q7" s="4">
        <v>0.87710534856133449</v>
      </c>
      <c r="R7" s="4"/>
      <c r="T7" s="4" t="s">
        <v>62</v>
      </c>
      <c r="U7" s="4">
        <v>0.81464194798861811</v>
      </c>
      <c r="V7" s="4"/>
    </row>
    <row r="8" spans="1:22" x14ac:dyDescent="0.4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44">
        <f t="shared" si="0"/>
        <v>0</v>
      </c>
      <c r="M8" s="44">
        <v>0</v>
      </c>
      <c r="N8">
        <f t="shared" si="1"/>
        <v>0</v>
      </c>
      <c r="P8" s="4" t="s">
        <v>56</v>
      </c>
      <c r="Q8" s="4">
        <v>0</v>
      </c>
      <c r="R8" s="4"/>
      <c r="T8" s="4" t="s">
        <v>56</v>
      </c>
      <c r="U8" s="4">
        <v>0</v>
      </c>
      <c r="V8" s="4"/>
    </row>
    <row r="9" spans="1:22" x14ac:dyDescent="0.4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s="44">
        <f t="shared" si="0"/>
        <v>0</v>
      </c>
      <c r="M9" s="44">
        <v>0</v>
      </c>
      <c r="N9">
        <f t="shared" si="1"/>
        <v>0</v>
      </c>
      <c r="P9" s="4" t="s">
        <v>38</v>
      </c>
      <c r="Q9" s="4">
        <v>52</v>
      </c>
      <c r="R9" s="4"/>
      <c r="T9" s="4" t="s">
        <v>38</v>
      </c>
      <c r="U9" s="4">
        <v>52</v>
      </c>
      <c r="V9" s="4"/>
    </row>
    <row r="10" spans="1:22" x14ac:dyDescent="0.4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 s="44">
        <f t="shared" si="0"/>
        <v>0.1</v>
      </c>
      <c r="M10" s="44">
        <v>0</v>
      </c>
      <c r="N10">
        <f t="shared" si="1"/>
        <v>0.1</v>
      </c>
      <c r="P10" s="29" t="s">
        <v>57</v>
      </c>
      <c r="Q10" s="29">
        <v>-2.0106570969702902</v>
      </c>
      <c r="R10" s="4"/>
      <c r="T10" s="29" t="s">
        <v>57</v>
      </c>
      <c r="U10" s="29">
        <v>-4.3840544562891166</v>
      </c>
      <c r="V10" s="4"/>
    </row>
    <row r="11" spans="1:22" x14ac:dyDescent="0.4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s="44">
        <f t="shared" si="0"/>
        <v>0</v>
      </c>
      <c r="M11" s="44">
        <v>0</v>
      </c>
      <c r="N11">
        <f t="shared" si="1"/>
        <v>0</v>
      </c>
      <c r="P11" s="4" t="s">
        <v>58</v>
      </c>
      <c r="Q11" s="4">
        <v>2.4780224461153286E-2</v>
      </c>
      <c r="R11" s="4"/>
      <c r="T11" s="4" t="s">
        <v>58</v>
      </c>
      <c r="U11" s="4">
        <v>2.8450094251555606E-5</v>
      </c>
      <c r="V11" s="4"/>
    </row>
    <row r="12" spans="1:22" x14ac:dyDescent="0.4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44">
        <f t="shared" si="0"/>
        <v>0</v>
      </c>
      <c r="M12" s="44">
        <v>0</v>
      </c>
      <c r="N12">
        <f t="shared" si="1"/>
        <v>0</v>
      </c>
      <c r="P12" s="4" t="s">
        <v>59</v>
      </c>
      <c r="Q12" s="4">
        <v>1.6746891537260258</v>
      </c>
      <c r="R12" s="4"/>
      <c r="T12" s="4" t="s">
        <v>59</v>
      </c>
      <c r="U12" s="4">
        <v>1.6746891537260258</v>
      </c>
      <c r="V12" s="4"/>
    </row>
    <row r="13" spans="1:22" x14ac:dyDescent="0.4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44">
        <f t="shared" si="0"/>
        <v>0</v>
      </c>
      <c r="M13" s="44">
        <v>0</v>
      </c>
      <c r="N13">
        <f t="shared" si="1"/>
        <v>0</v>
      </c>
      <c r="P13" s="4" t="s">
        <v>60</v>
      </c>
      <c r="Q13" s="4">
        <v>4.9560448922306571E-2</v>
      </c>
      <c r="R13" s="4"/>
      <c r="T13" s="4" t="s">
        <v>60</v>
      </c>
      <c r="U13" s="4">
        <v>5.6900188503111213E-5</v>
      </c>
      <c r="V13" s="4"/>
    </row>
    <row r="14" spans="1:22" ht="16.5" thickBot="1" x14ac:dyDescent="0.45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44">
        <f t="shared" si="0"/>
        <v>0</v>
      </c>
      <c r="M14" s="44">
        <v>0</v>
      </c>
      <c r="N14">
        <f t="shared" si="1"/>
        <v>0</v>
      </c>
      <c r="P14" s="30" t="s">
        <v>61</v>
      </c>
      <c r="Q14" s="30">
        <v>2.0066468050616861</v>
      </c>
      <c r="R14" s="5"/>
      <c r="T14" s="30" t="s">
        <v>61</v>
      </c>
      <c r="U14" s="30">
        <v>2.0066468050616861</v>
      </c>
      <c r="V14" s="5"/>
    </row>
    <row r="15" spans="1:22" x14ac:dyDescent="0.4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s="44">
        <f t="shared" si="0"/>
        <v>0</v>
      </c>
      <c r="M15" s="44">
        <v>0</v>
      </c>
      <c r="N15">
        <f t="shared" si="1"/>
        <v>0</v>
      </c>
    </row>
    <row r="16" spans="1:22" x14ac:dyDescent="0.4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44">
        <f t="shared" si="0"/>
        <v>0</v>
      </c>
      <c r="M16" s="44">
        <v>0</v>
      </c>
      <c r="N16">
        <f t="shared" si="1"/>
        <v>0</v>
      </c>
      <c r="P16" t="s">
        <v>46</v>
      </c>
      <c r="Q16" t="s">
        <v>66</v>
      </c>
      <c r="T16" t="s">
        <v>46</v>
      </c>
      <c r="U16" t="s">
        <v>68</v>
      </c>
    </row>
    <row r="17" spans="1:21" x14ac:dyDescent="0.4">
      <c r="A17" s="1">
        <v>16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44">
        <f t="shared" si="0"/>
        <v>0.1</v>
      </c>
      <c r="M17" s="44">
        <v>0</v>
      </c>
      <c r="N17">
        <f t="shared" si="1"/>
        <v>0.1</v>
      </c>
      <c r="P17" t="s">
        <v>47</v>
      </c>
      <c r="Q17" t="s">
        <v>67</v>
      </c>
      <c r="T17" t="s">
        <v>47</v>
      </c>
      <c r="U17" t="s">
        <v>67</v>
      </c>
    </row>
    <row r="18" spans="1:21" x14ac:dyDescent="0.4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s="44">
        <f t="shared" si="0"/>
        <v>0</v>
      </c>
      <c r="M18" s="44">
        <v>0</v>
      </c>
      <c r="N18">
        <f t="shared" si="1"/>
        <v>0</v>
      </c>
    </row>
    <row r="19" spans="1:21" x14ac:dyDescent="0.4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44">
        <f t="shared" si="0"/>
        <v>0</v>
      </c>
      <c r="M19" s="44">
        <v>0</v>
      </c>
      <c r="N19">
        <f t="shared" si="1"/>
        <v>0</v>
      </c>
      <c r="P19" t="s">
        <v>70</v>
      </c>
      <c r="Q19" t="s">
        <v>71</v>
      </c>
      <c r="T19" t="s">
        <v>70</v>
      </c>
      <c r="U19" t="s">
        <v>71</v>
      </c>
    </row>
    <row r="20" spans="1:21" x14ac:dyDescent="0.4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44">
        <f t="shared" si="0"/>
        <v>0</v>
      </c>
      <c r="M20" s="44">
        <v>0</v>
      </c>
      <c r="N20">
        <f t="shared" si="1"/>
        <v>0</v>
      </c>
    </row>
    <row r="21" spans="1:21" x14ac:dyDescent="0.4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44">
        <f t="shared" si="0"/>
        <v>0</v>
      </c>
      <c r="M21" s="44">
        <v>0</v>
      </c>
      <c r="N21">
        <f t="shared" si="1"/>
        <v>0</v>
      </c>
      <c r="P21" t="s">
        <v>64</v>
      </c>
    </row>
    <row r="22" spans="1:21" ht="16.5" thickBot="1" x14ac:dyDescent="0.45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44">
        <f t="shared" si="0"/>
        <v>0</v>
      </c>
      <c r="M22" s="44">
        <v>0</v>
      </c>
      <c r="N22">
        <f t="shared" si="1"/>
        <v>0</v>
      </c>
    </row>
    <row r="23" spans="1:21" x14ac:dyDescent="0.4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44">
        <f t="shared" si="0"/>
        <v>0</v>
      </c>
      <c r="M23" s="44">
        <v>0</v>
      </c>
      <c r="N23">
        <f t="shared" si="1"/>
        <v>0</v>
      </c>
      <c r="P23" s="6"/>
      <c r="Q23" s="6" t="s">
        <v>1</v>
      </c>
      <c r="R23" s="6">
        <v>2014</v>
      </c>
    </row>
    <row r="24" spans="1:21" x14ac:dyDescent="0.4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s="44">
        <f t="shared" si="0"/>
        <v>0</v>
      </c>
      <c r="M24" s="44">
        <v>0</v>
      </c>
      <c r="N24">
        <f t="shared" si="1"/>
        <v>0</v>
      </c>
      <c r="P24" s="4" t="s">
        <v>17</v>
      </c>
      <c r="Q24" s="4">
        <v>6.5811320754716993</v>
      </c>
      <c r="R24" s="4">
        <v>15.113207547169811</v>
      </c>
    </row>
    <row r="25" spans="1:21" x14ac:dyDescent="0.4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44">
        <f t="shared" si="0"/>
        <v>0</v>
      </c>
      <c r="M25" s="44">
        <v>0</v>
      </c>
      <c r="N25">
        <f t="shared" si="1"/>
        <v>0</v>
      </c>
      <c r="P25" s="4" t="s">
        <v>34</v>
      </c>
      <c r="Q25" s="4">
        <v>83.735406386066714</v>
      </c>
      <c r="R25" s="4">
        <v>508.02539912917268</v>
      </c>
    </row>
    <row r="26" spans="1:21" x14ac:dyDescent="0.4">
      <c r="A26" s="1">
        <v>25</v>
      </c>
      <c r="B26">
        <v>1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 s="44">
        <f t="shared" si="0"/>
        <v>0.4</v>
      </c>
      <c r="M26" s="44">
        <v>1</v>
      </c>
      <c r="N26">
        <f t="shared" si="1"/>
        <v>-0.6</v>
      </c>
      <c r="P26" s="4" t="s">
        <v>55</v>
      </c>
      <c r="Q26" s="4">
        <v>53</v>
      </c>
      <c r="R26" s="4">
        <v>53</v>
      </c>
    </row>
    <row r="27" spans="1:21" x14ac:dyDescent="0.4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 s="44">
        <f t="shared" si="0"/>
        <v>0.1</v>
      </c>
      <c r="M27" s="44">
        <v>0</v>
      </c>
      <c r="N27">
        <f t="shared" si="1"/>
        <v>0.1</v>
      </c>
      <c r="P27" s="4" t="s">
        <v>62</v>
      </c>
      <c r="Q27" s="4">
        <v>0.96094493032045403</v>
      </c>
      <c r="R27" s="4"/>
    </row>
    <row r="28" spans="1:21" x14ac:dyDescent="0.4">
      <c r="A28" s="1">
        <v>27</v>
      </c>
      <c r="B28">
        <v>0</v>
      </c>
      <c r="C28">
        <v>2</v>
      </c>
      <c r="D28">
        <v>2</v>
      </c>
      <c r="E28">
        <v>0</v>
      </c>
      <c r="F28">
        <v>0</v>
      </c>
      <c r="G28">
        <v>0</v>
      </c>
      <c r="H28">
        <v>0</v>
      </c>
      <c r="I28">
        <v>3</v>
      </c>
      <c r="J28">
        <v>0</v>
      </c>
      <c r="K28">
        <v>0</v>
      </c>
      <c r="L28" s="44">
        <f t="shared" si="0"/>
        <v>0.7</v>
      </c>
      <c r="M28" s="44">
        <v>0</v>
      </c>
      <c r="N28">
        <f t="shared" si="1"/>
        <v>0.7</v>
      </c>
      <c r="P28" s="4" t="s">
        <v>56</v>
      </c>
      <c r="Q28" s="4">
        <v>0</v>
      </c>
      <c r="R28" s="4"/>
    </row>
    <row r="29" spans="1:21" x14ac:dyDescent="0.4">
      <c r="A29" s="1">
        <v>28</v>
      </c>
      <c r="B29">
        <v>0</v>
      </c>
      <c r="C29">
        <v>6</v>
      </c>
      <c r="D29">
        <v>0</v>
      </c>
      <c r="E29">
        <v>0</v>
      </c>
      <c r="F29">
        <v>2</v>
      </c>
      <c r="G29">
        <v>0</v>
      </c>
      <c r="H29">
        <v>0</v>
      </c>
      <c r="I29">
        <v>5</v>
      </c>
      <c r="J29">
        <v>0</v>
      </c>
      <c r="K29">
        <v>0</v>
      </c>
      <c r="L29" s="44">
        <f t="shared" si="0"/>
        <v>1.3</v>
      </c>
      <c r="M29" s="44">
        <v>2</v>
      </c>
      <c r="N29">
        <f t="shared" si="1"/>
        <v>-0.7</v>
      </c>
      <c r="P29" s="4" t="s">
        <v>38</v>
      </c>
      <c r="Q29" s="4">
        <v>52</v>
      </c>
      <c r="R29" s="4"/>
    </row>
    <row r="30" spans="1:21" x14ac:dyDescent="0.4">
      <c r="A30" s="1">
        <v>29</v>
      </c>
      <c r="B30">
        <v>4</v>
      </c>
      <c r="C30">
        <v>18</v>
      </c>
      <c r="D30">
        <v>3</v>
      </c>
      <c r="E30">
        <v>1</v>
      </c>
      <c r="F30">
        <v>2</v>
      </c>
      <c r="G30">
        <v>1</v>
      </c>
      <c r="H30">
        <v>0</v>
      </c>
      <c r="I30">
        <v>3</v>
      </c>
      <c r="J30">
        <v>1</v>
      </c>
      <c r="K30">
        <v>0</v>
      </c>
      <c r="L30" s="44">
        <f t="shared" si="0"/>
        <v>3.3</v>
      </c>
      <c r="M30" s="44">
        <v>3</v>
      </c>
      <c r="N30">
        <f t="shared" si="1"/>
        <v>0.29999999999999982</v>
      </c>
      <c r="P30" s="29" t="s">
        <v>57</v>
      </c>
      <c r="Q30" s="29">
        <v>-4.443916798030151</v>
      </c>
      <c r="R30" s="4"/>
    </row>
    <row r="31" spans="1:21" x14ac:dyDescent="0.4">
      <c r="A31" s="1">
        <v>30</v>
      </c>
      <c r="B31">
        <v>11</v>
      </c>
      <c r="C31">
        <v>15</v>
      </c>
      <c r="D31">
        <v>6</v>
      </c>
      <c r="E31">
        <v>1</v>
      </c>
      <c r="F31">
        <v>3</v>
      </c>
      <c r="G31">
        <v>0</v>
      </c>
      <c r="H31">
        <v>3</v>
      </c>
      <c r="I31">
        <v>5</v>
      </c>
      <c r="J31">
        <v>9</v>
      </c>
      <c r="K31">
        <v>3</v>
      </c>
      <c r="L31" s="44">
        <f t="shared" si="0"/>
        <v>5.6</v>
      </c>
      <c r="M31" s="44">
        <v>1</v>
      </c>
      <c r="N31">
        <f t="shared" si="1"/>
        <v>4.5999999999999996</v>
      </c>
      <c r="P31" s="4" t="s">
        <v>58</v>
      </c>
      <c r="Q31" s="4">
        <v>2.3270208376364028E-5</v>
      </c>
      <c r="R31" s="4"/>
    </row>
    <row r="32" spans="1:21" x14ac:dyDescent="0.4">
      <c r="A32" s="1">
        <v>31</v>
      </c>
      <c r="B32">
        <v>4</v>
      </c>
      <c r="C32">
        <v>22</v>
      </c>
      <c r="D32">
        <v>16</v>
      </c>
      <c r="E32">
        <v>3</v>
      </c>
      <c r="F32">
        <v>6</v>
      </c>
      <c r="G32">
        <v>6</v>
      </c>
      <c r="H32">
        <v>10</v>
      </c>
      <c r="I32">
        <v>18</v>
      </c>
      <c r="J32">
        <v>12</v>
      </c>
      <c r="K32">
        <v>7</v>
      </c>
      <c r="L32" s="44">
        <f t="shared" si="0"/>
        <v>10.4</v>
      </c>
      <c r="M32" s="44">
        <v>4</v>
      </c>
      <c r="N32">
        <f t="shared" si="1"/>
        <v>6.4</v>
      </c>
      <c r="P32" s="4" t="s">
        <v>59</v>
      </c>
      <c r="Q32" s="4">
        <v>1.6746891537260258</v>
      </c>
      <c r="R32" s="4"/>
    </row>
    <row r="33" spans="1:18" x14ac:dyDescent="0.4">
      <c r="A33" s="1">
        <v>32</v>
      </c>
      <c r="B33">
        <v>18</v>
      </c>
      <c r="C33">
        <v>22</v>
      </c>
      <c r="D33">
        <v>26</v>
      </c>
      <c r="E33">
        <v>5</v>
      </c>
      <c r="F33">
        <v>4</v>
      </c>
      <c r="G33">
        <v>3</v>
      </c>
      <c r="H33">
        <v>4</v>
      </c>
      <c r="I33">
        <v>18</v>
      </c>
      <c r="J33">
        <v>24</v>
      </c>
      <c r="K33">
        <v>12</v>
      </c>
      <c r="L33" s="44">
        <f t="shared" si="0"/>
        <v>13.6</v>
      </c>
      <c r="M33" s="44">
        <v>7</v>
      </c>
      <c r="N33">
        <f t="shared" si="1"/>
        <v>6.6</v>
      </c>
      <c r="P33" s="4" t="s">
        <v>60</v>
      </c>
      <c r="Q33" s="4">
        <v>4.6540416752728056E-5</v>
      </c>
      <c r="R33" s="4"/>
    </row>
    <row r="34" spans="1:18" ht="16.5" thickBot="1" x14ac:dyDescent="0.45">
      <c r="A34" s="1">
        <v>33</v>
      </c>
      <c r="B34">
        <v>30</v>
      </c>
      <c r="C34">
        <v>34</v>
      </c>
      <c r="D34">
        <v>19</v>
      </c>
      <c r="E34">
        <v>0</v>
      </c>
      <c r="F34">
        <v>6</v>
      </c>
      <c r="G34">
        <v>2</v>
      </c>
      <c r="H34">
        <v>19</v>
      </c>
      <c r="I34">
        <v>38</v>
      </c>
      <c r="J34">
        <v>31</v>
      </c>
      <c r="K34">
        <v>24</v>
      </c>
      <c r="L34" s="44">
        <f t="shared" si="0"/>
        <v>20.3</v>
      </c>
      <c r="M34" s="44">
        <v>8</v>
      </c>
      <c r="N34">
        <f t="shared" si="1"/>
        <v>12.3</v>
      </c>
      <c r="P34" s="30" t="s">
        <v>61</v>
      </c>
      <c r="Q34" s="30">
        <v>2.0066468050616861</v>
      </c>
      <c r="R34" s="5"/>
    </row>
    <row r="35" spans="1:18" x14ac:dyDescent="0.4">
      <c r="A35" s="1">
        <v>34</v>
      </c>
      <c r="B35">
        <v>28</v>
      </c>
      <c r="C35">
        <v>27</v>
      </c>
      <c r="D35">
        <v>19</v>
      </c>
      <c r="E35">
        <v>9</v>
      </c>
      <c r="F35">
        <v>5</v>
      </c>
      <c r="G35">
        <v>7</v>
      </c>
      <c r="H35">
        <v>22</v>
      </c>
      <c r="I35">
        <v>33</v>
      </c>
      <c r="J35">
        <v>20</v>
      </c>
      <c r="K35">
        <v>31</v>
      </c>
      <c r="L35" s="44">
        <f t="shared" si="0"/>
        <v>20.100000000000001</v>
      </c>
      <c r="M35" s="44">
        <v>15</v>
      </c>
      <c r="N35">
        <f t="shared" si="1"/>
        <v>5.1000000000000014</v>
      </c>
    </row>
    <row r="36" spans="1:18" x14ac:dyDescent="0.4">
      <c r="A36" s="1">
        <v>35</v>
      </c>
      <c r="B36">
        <v>42</v>
      </c>
      <c r="C36">
        <v>25</v>
      </c>
      <c r="D36">
        <v>34</v>
      </c>
      <c r="E36">
        <v>7</v>
      </c>
      <c r="F36">
        <v>7</v>
      </c>
      <c r="G36">
        <v>8</v>
      </c>
      <c r="H36">
        <v>27</v>
      </c>
      <c r="I36">
        <v>53</v>
      </c>
      <c r="J36">
        <v>19</v>
      </c>
      <c r="K36">
        <v>46</v>
      </c>
      <c r="L36" s="44">
        <f t="shared" si="0"/>
        <v>26.8</v>
      </c>
      <c r="M36" s="44">
        <v>15</v>
      </c>
      <c r="N36">
        <f t="shared" si="1"/>
        <v>11.8</v>
      </c>
      <c r="P36" t="s">
        <v>46</v>
      </c>
      <c r="Q36" t="s">
        <v>69</v>
      </c>
    </row>
    <row r="37" spans="1:18" x14ac:dyDescent="0.4">
      <c r="A37" s="1">
        <v>36</v>
      </c>
      <c r="B37">
        <v>20</v>
      </c>
      <c r="C37">
        <v>26</v>
      </c>
      <c r="D37">
        <v>30</v>
      </c>
      <c r="E37">
        <v>8</v>
      </c>
      <c r="F37">
        <v>3</v>
      </c>
      <c r="G37">
        <v>6</v>
      </c>
      <c r="H37">
        <v>15</v>
      </c>
      <c r="I37">
        <v>53</v>
      </c>
      <c r="J37">
        <v>31</v>
      </c>
      <c r="K37">
        <v>32</v>
      </c>
      <c r="L37" s="44">
        <f t="shared" si="0"/>
        <v>22.4</v>
      </c>
      <c r="M37" s="44">
        <v>19</v>
      </c>
      <c r="N37">
        <f t="shared" si="1"/>
        <v>3.3999999999999986</v>
      </c>
      <c r="P37" t="s">
        <v>47</v>
      </c>
      <c r="Q37" t="s">
        <v>67</v>
      </c>
    </row>
    <row r="38" spans="1:18" x14ac:dyDescent="0.4">
      <c r="A38" s="1">
        <v>37</v>
      </c>
      <c r="B38">
        <v>38</v>
      </c>
      <c r="C38">
        <v>33</v>
      </c>
      <c r="D38">
        <v>37</v>
      </c>
      <c r="E38">
        <v>13</v>
      </c>
      <c r="F38">
        <v>7</v>
      </c>
      <c r="G38">
        <v>15</v>
      </c>
      <c r="H38">
        <v>16</v>
      </c>
      <c r="I38">
        <v>71</v>
      </c>
      <c r="J38">
        <v>34</v>
      </c>
      <c r="K38">
        <v>44</v>
      </c>
      <c r="L38" s="44">
        <f t="shared" si="0"/>
        <v>30.8</v>
      </c>
      <c r="M38" s="44">
        <v>39</v>
      </c>
      <c r="N38">
        <f t="shared" si="1"/>
        <v>-8.1999999999999993</v>
      </c>
    </row>
    <row r="39" spans="1:18" x14ac:dyDescent="0.4">
      <c r="A39" s="1">
        <v>38</v>
      </c>
      <c r="B39">
        <v>18</v>
      </c>
      <c r="C39">
        <v>25</v>
      </c>
      <c r="D39">
        <v>38</v>
      </c>
      <c r="E39">
        <v>12</v>
      </c>
      <c r="F39">
        <v>7</v>
      </c>
      <c r="G39">
        <v>19</v>
      </c>
      <c r="H39">
        <v>33</v>
      </c>
      <c r="I39">
        <v>64</v>
      </c>
      <c r="J39">
        <v>52</v>
      </c>
      <c r="K39">
        <v>35</v>
      </c>
      <c r="L39" s="44">
        <f t="shared" si="0"/>
        <v>30.3</v>
      </c>
      <c r="M39" s="44">
        <v>32</v>
      </c>
      <c r="N39">
        <f t="shared" si="1"/>
        <v>-1.6999999999999993</v>
      </c>
      <c r="P39" t="s">
        <v>70</v>
      </c>
      <c r="Q39" t="s">
        <v>71</v>
      </c>
    </row>
    <row r="40" spans="1:18" x14ac:dyDescent="0.4">
      <c r="A40" s="1">
        <v>39</v>
      </c>
      <c r="B40">
        <v>22</v>
      </c>
      <c r="C40">
        <v>34</v>
      </c>
      <c r="D40">
        <v>38</v>
      </c>
      <c r="E40">
        <v>9</v>
      </c>
      <c r="F40">
        <v>10</v>
      </c>
      <c r="G40">
        <v>20</v>
      </c>
      <c r="H40">
        <v>26</v>
      </c>
      <c r="I40">
        <v>56</v>
      </c>
      <c r="J40">
        <v>67</v>
      </c>
      <c r="K40">
        <v>42</v>
      </c>
      <c r="L40" s="44">
        <f t="shared" si="0"/>
        <v>32.4</v>
      </c>
      <c r="M40" s="44">
        <v>34</v>
      </c>
      <c r="N40">
        <f t="shared" si="1"/>
        <v>-1.6000000000000014</v>
      </c>
    </row>
    <row r="41" spans="1:18" x14ac:dyDescent="0.4">
      <c r="A41" s="1">
        <v>40</v>
      </c>
      <c r="B41">
        <v>5</v>
      </c>
      <c r="C41">
        <v>32</v>
      </c>
      <c r="D41">
        <v>23</v>
      </c>
      <c r="E41">
        <v>9</v>
      </c>
      <c r="F41">
        <v>5</v>
      </c>
      <c r="G41">
        <v>17</v>
      </c>
      <c r="H41">
        <v>29</v>
      </c>
      <c r="I41">
        <v>55</v>
      </c>
      <c r="J41">
        <v>60</v>
      </c>
      <c r="K41">
        <v>34</v>
      </c>
      <c r="L41" s="44">
        <f t="shared" si="0"/>
        <v>26.9</v>
      </c>
      <c r="M41" s="44">
        <v>48</v>
      </c>
      <c r="N41">
        <f t="shared" si="1"/>
        <v>-21.1</v>
      </c>
    </row>
    <row r="42" spans="1:18" x14ac:dyDescent="0.4">
      <c r="A42" s="1">
        <v>41</v>
      </c>
      <c r="B42">
        <v>11</v>
      </c>
      <c r="C42">
        <v>21</v>
      </c>
      <c r="D42">
        <v>34</v>
      </c>
      <c r="E42">
        <v>6</v>
      </c>
      <c r="F42">
        <v>2</v>
      </c>
      <c r="G42">
        <v>9</v>
      </c>
      <c r="H42">
        <v>31</v>
      </c>
      <c r="I42">
        <v>74</v>
      </c>
      <c r="J42">
        <v>45</v>
      </c>
      <c r="K42">
        <v>17</v>
      </c>
      <c r="L42" s="44">
        <f t="shared" si="0"/>
        <v>25</v>
      </c>
      <c r="M42" s="44">
        <v>35</v>
      </c>
      <c r="N42">
        <f t="shared" si="1"/>
        <v>-10</v>
      </c>
    </row>
    <row r="43" spans="1:18" x14ac:dyDescent="0.4">
      <c r="A43" s="1">
        <v>42</v>
      </c>
      <c r="B43">
        <v>4</v>
      </c>
      <c r="C43">
        <v>10</v>
      </c>
      <c r="D43">
        <v>2</v>
      </c>
      <c r="E43">
        <v>9</v>
      </c>
      <c r="F43">
        <v>14</v>
      </c>
      <c r="G43">
        <v>9</v>
      </c>
      <c r="H43">
        <v>36</v>
      </c>
      <c r="I43">
        <v>46</v>
      </c>
      <c r="J43">
        <v>51</v>
      </c>
      <c r="K43">
        <v>20</v>
      </c>
      <c r="L43" s="44">
        <f t="shared" si="0"/>
        <v>20.100000000000001</v>
      </c>
      <c r="M43" s="44">
        <v>35</v>
      </c>
      <c r="N43">
        <f t="shared" si="1"/>
        <v>-14.899999999999999</v>
      </c>
    </row>
    <row r="44" spans="1:18" x14ac:dyDescent="0.4">
      <c r="A44" s="1">
        <v>43</v>
      </c>
      <c r="B44">
        <v>6</v>
      </c>
      <c r="C44">
        <v>7</v>
      </c>
      <c r="D44">
        <v>14</v>
      </c>
      <c r="E44">
        <v>5</v>
      </c>
      <c r="F44">
        <v>11</v>
      </c>
      <c r="G44">
        <v>7</v>
      </c>
      <c r="H44">
        <v>25</v>
      </c>
      <c r="I44">
        <v>45</v>
      </c>
      <c r="J44">
        <v>52</v>
      </c>
      <c r="K44">
        <v>23</v>
      </c>
      <c r="L44" s="44">
        <f t="shared" si="0"/>
        <v>19.5</v>
      </c>
      <c r="M44" s="44">
        <v>38</v>
      </c>
      <c r="N44">
        <f t="shared" si="1"/>
        <v>-18.5</v>
      </c>
    </row>
    <row r="45" spans="1:18" x14ac:dyDescent="0.4">
      <c r="A45" s="1">
        <v>44</v>
      </c>
      <c r="B45">
        <v>3</v>
      </c>
      <c r="C45">
        <v>7</v>
      </c>
      <c r="D45">
        <v>10</v>
      </c>
      <c r="E45">
        <v>3</v>
      </c>
      <c r="F45">
        <v>3</v>
      </c>
      <c r="G45">
        <v>11</v>
      </c>
      <c r="H45">
        <v>22</v>
      </c>
      <c r="I45">
        <v>52</v>
      </c>
      <c r="J45">
        <v>40</v>
      </c>
      <c r="K45">
        <v>0</v>
      </c>
      <c r="L45" s="44">
        <f t="shared" si="0"/>
        <v>15.1</v>
      </c>
      <c r="M45" s="44">
        <v>38</v>
      </c>
      <c r="N45">
        <f t="shared" si="1"/>
        <v>-22.9</v>
      </c>
    </row>
    <row r="46" spans="1:18" x14ac:dyDescent="0.4">
      <c r="A46" s="1">
        <v>45</v>
      </c>
      <c r="B46">
        <v>3</v>
      </c>
      <c r="C46">
        <v>4</v>
      </c>
      <c r="D46">
        <v>25</v>
      </c>
      <c r="E46">
        <v>2</v>
      </c>
      <c r="F46">
        <v>1</v>
      </c>
      <c r="G46">
        <v>5</v>
      </c>
      <c r="H46">
        <v>20</v>
      </c>
      <c r="I46">
        <v>28</v>
      </c>
      <c r="J46">
        <v>39</v>
      </c>
      <c r="K46">
        <v>0</v>
      </c>
      <c r="L46" s="44">
        <f t="shared" si="0"/>
        <v>12.7</v>
      </c>
      <c r="M46" s="44">
        <v>22</v>
      </c>
      <c r="N46">
        <f t="shared" si="1"/>
        <v>-9.3000000000000007</v>
      </c>
    </row>
    <row r="47" spans="1:18" x14ac:dyDescent="0.4">
      <c r="A47" s="1">
        <v>46</v>
      </c>
      <c r="B47">
        <v>3</v>
      </c>
      <c r="C47">
        <v>3</v>
      </c>
      <c r="D47">
        <v>12</v>
      </c>
      <c r="E47">
        <v>1</v>
      </c>
      <c r="F47">
        <v>0</v>
      </c>
      <c r="G47">
        <v>5</v>
      </c>
      <c r="H47">
        <v>10</v>
      </c>
      <c r="I47">
        <v>16</v>
      </c>
      <c r="J47">
        <v>36</v>
      </c>
      <c r="K47">
        <v>0</v>
      </c>
      <c r="L47" s="44">
        <f t="shared" si="0"/>
        <v>8.6</v>
      </c>
      <c r="M47" s="44">
        <v>18</v>
      </c>
      <c r="N47">
        <f t="shared" si="1"/>
        <v>-9.4</v>
      </c>
    </row>
    <row r="48" spans="1:18" x14ac:dyDescent="0.4">
      <c r="A48" s="1">
        <v>47</v>
      </c>
      <c r="B48">
        <v>0</v>
      </c>
      <c r="C48">
        <v>0</v>
      </c>
      <c r="D48">
        <v>7</v>
      </c>
      <c r="E48">
        <v>0</v>
      </c>
      <c r="F48">
        <v>2</v>
      </c>
      <c r="G48">
        <v>1</v>
      </c>
      <c r="H48">
        <v>7</v>
      </c>
      <c r="I48">
        <v>9</v>
      </c>
      <c r="J48">
        <v>14</v>
      </c>
      <c r="K48">
        <v>0</v>
      </c>
      <c r="L48" s="44">
        <f t="shared" si="0"/>
        <v>4</v>
      </c>
      <c r="M48" s="44">
        <v>7</v>
      </c>
      <c r="N48">
        <f t="shared" si="1"/>
        <v>-3</v>
      </c>
    </row>
    <row r="49" spans="1:14" x14ac:dyDescent="0.4">
      <c r="A49" s="1">
        <v>48</v>
      </c>
      <c r="B49">
        <v>1</v>
      </c>
      <c r="C49">
        <v>2</v>
      </c>
      <c r="D49">
        <v>1</v>
      </c>
      <c r="E49">
        <v>1</v>
      </c>
      <c r="F49">
        <v>3</v>
      </c>
      <c r="G49">
        <v>3</v>
      </c>
      <c r="H49">
        <v>4</v>
      </c>
      <c r="I49">
        <v>7</v>
      </c>
      <c r="J49">
        <v>38</v>
      </c>
      <c r="K49">
        <v>0</v>
      </c>
      <c r="L49" s="44">
        <f t="shared" si="0"/>
        <v>6</v>
      </c>
      <c r="M49" s="44">
        <v>10</v>
      </c>
      <c r="N49">
        <f t="shared" si="1"/>
        <v>-4</v>
      </c>
    </row>
    <row r="50" spans="1:14" x14ac:dyDescent="0.4">
      <c r="A50" s="1">
        <v>49</v>
      </c>
      <c r="B50">
        <v>0</v>
      </c>
      <c r="C50">
        <v>2</v>
      </c>
      <c r="D50">
        <v>10</v>
      </c>
      <c r="E50">
        <v>1</v>
      </c>
      <c r="F50">
        <v>2</v>
      </c>
      <c r="G50">
        <v>0</v>
      </c>
      <c r="H50">
        <v>3</v>
      </c>
      <c r="I50">
        <v>22</v>
      </c>
      <c r="J50">
        <v>27</v>
      </c>
      <c r="K50">
        <v>0</v>
      </c>
      <c r="L50" s="44">
        <f t="shared" si="0"/>
        <v>6.7</v>
      </c>
      <c r="M50" s="44">
        <v>12</v>
      </c>
      <c r="N50">
        <f t="shared" si="1"/>
        <v>-5.3</v>
      </c>
    </row>
    <row r="51" spans="1:14" x14ac:dyDescent="0.4">
      <c r="A51" s="1">
        <v>50</v>
      </c>
      <c r="B51">
        <v>0</v>
      </c>
      <c r="C51">
        <v>1</v>
      </c>
      <c r="D51">
        <v>4</v>
      </c>
      <c r="E51">
        <v>1</v>
      </c>
      <c r="F51">
        <v>0</v>
      </c>
      <c r="G51">
        <v>1</v>
      </c>
      <c r="H51">
        <v>3</v>
      </c>
      <c r="I51">
        <v>4</v>
      </c>
      <c r="J51">
        <v>28</v>
      </c>
      <c r="K51">
        <v>0</v>
      </c>
      <c r="L51" s="44">
        <f t="shared" si="0"/>
        <v>4.2</v>
      </c>
      <c r="M51" s="44">
        <v>8</v>
      </c>
      <c r="N51">
        <f t="shared" si="1"/>
        <v>-3.8</v>
      </c>
    </row>
    <row r="52" spans="1:14" x14ac:dyDescent="0.4">
      <c r="A52" s="1">
        <v>51</v>
      </c>
      <c r="B52">
        <v>0</v>
      </c>
      <c r="C52">
        <v>0</v>
      </c>
      <c r="D52">
        <v>5</v>
      </c>
      <c r="E52">
        <v>1</v>
      </c>
      <c r="F52">
        <v>0</v>
      </c>
      <c r="G52">
        <v>0</v>
      </c>
      <c r="H52">
        <v>9</v>
      </c>
      <c r="I52">
        <v>2</v>
      </c>
      <c r="J52">
        <v>4</v>
      </c>
      <c r="K52">
        <v>0</v>
      </c>
      <c r="L52" s="44">
        <f t="shared" si="0"/>
        <v>2.1</v>
      </c>
      <c r="M52" s="44">
        <v>12</v>
      </c>
      <c r="N52">
        <f t="shared" si="1"/>
        <v>-9.9</v>
      </c>
    </row>
    <row r="53" spans="1:14" x14ac:dyDescent="0.4">
      <c r="A53" s="1">
        <v>52</v>
      </c>
      <c r="B53">
        <v>0</v>
      </c>
      <c r="C53">
        <v>0</v>
      </c>
      <c r="D53">
        <v>0</v>
      </c>
      <c r="E53">
        <v>5</v>
      </c>
      <c r="F53">
        <v>1</v>
      </c>
      <c r="G53">
        <v>3</v>
      </c>
      <c r="H53">
        <v>0</v>
      </c>
      <c r="I53">
        <v>19</v>
      </c>
      <c r="J53">
        <v>48</v>
      </c>
      <c r="K53">
        <v>0</v>
      </c>
      <c r="L53" s="44">
        <f t="shared" si="0"/>
        <v>7.6</v>
      </c>
      <c r="M53" s="44">
        <v>13</v>
      </c>
      <c r="N53">
        <f t="shared" si="1"/>
        <v>-5.4</v>
      </c>
    </row>
    <row r="54" spans="1:14" x14ac:dyDescent="0.4">
      <c r="A54" s="1">
        <v>53</v>
      </c>
      <c r="B54">
        <v>0</v>
      </c>
      <c r="C54">
        <v>0</v>
      </c>
      <c r="D54">
        <v>29</v>
      </c>
      <c r="E54">
        <v>0</v>
      </c>
      <c r="F54">
        <v>5</v>
      </c>
      <c r="G54">
        <v>0</v>
      </c>
      <c r="H54">
        <v>4</v>
      </c>
      <c r="I54">
        <v>0</v>
      </c>
      <c r="J54">
        <v>0</v>
      </c>
      <c r="K54">
        <v>0</v>
      </c>
      <c r="L54" s="44">
        <f t="shared" si="0"/>
        <v>3.8</v>
      </c>
      <c r="M54" s="44">
        <v>3</v>
      </c>
      <c r="N54">
        <f t="shared" si="1"/>
        <v>0.79999999999999982</v>
      </c>
    </row>
    <row r="58" spans="1:14" x14ac:dyDescent="0.4">
      <c r="F58" s="1" t="s">
        <v>0</v>
      </c>
      <c r="G58" s="44" t="s">
        <v>1</v>
      </c>
      <c r="H58" s="44" t="s">
        <v>72</v>
      </c>
    </row>
    <row r="59" spans="1:14" x14ac:dyDescent="0.4">
      <c r="F59" s="1">
        <v>1</v>
      </c>
      <c r="G59" s="44">
        <f>(SUM(B2:K2)/10)</f>
        <v>0</v>
      </c>
      <c r="H59" s="44">
        <v>0</v>
      </c>
    </row>
    <row r="60" spans="1:14" x14ac:dyDescent="0.4">
      <c r="F60" s="1">
        <v>2</v>
      </c>
      <c r="G60" s="44">
        <f t="shared" ref="G60:G111" si="2">(SUM(B3:K3)/10)</f>
        <v>0</v>
      </c>
      <c r="H60" s="44">
        <v>0</v>
      </c>
    </row>
    <row r="61" spans="1:14" x14ac:dyDescent="0.4">
      <c r="F61" s="1">
        <v>3</v>
      </c>
      <c r="G61" s="44">
        <f t="shared" si="2"/>
        <v>0</v>
      </c>
      <c r="H61" s="44">
        <v>0</v>
      </c>
    </row>
    <row r="62" spans="1:14" x14ac:dyDescent="0.4">
      <c r="F62" s="1">
        <v>4</v>
      </c>
      <c r="G62" s="44">
        <f t="shared" si="2"/>
        <v>0</v>
      </c>
      <c r="H62" s="44">
        <v>0</v>
      </c>
    </row>
    <row r="63" spans="1:14" x14ac:dyDescent="0.4">
      <c r="F63" s="1">
        <v>5</v>
      </c>
      <c r="G63" s="44">
        <f t="shared" si="2"/>
        <v>0</v>
      </c>
      <c r="H63" s="44">
        <v>0</v>
      </c>
    </row>
    <row r="64" spans="1:14" x14ac:dyDescent="0.4">
      <c r="F64" s="1">
        <v>6</v>
      </c>
      <c r="G64" s="44">
        <f t="shared" si="2"/>
        <v>0</v>
      </c>
      <c r="H64" s="44">
        <v>0</v>
      </c>
    </row>
    <row r="65" spans="6:8" x14ac:dyDescent="0.4">
      <c r="F65" s="1">
        <v>7</v>
      </c>
      <c r="G65" s="44">
        <f t="shared" si="2"/>
        <v>0</v>
      </c>
      <c r="H65" s="44">
        <v>0</v>
      </c>
    </row>
    <row r="66" spans="6:8" x14ac:dyDescent="0.4">
      <c r="F66" s="1">
        <v>8</v>
      </c>
      <c r="G66" s="44">
        <f t="shared" si="2"/>
        <v>0</v>
      </c>
      <c r="H66" s="44">
        <v>0</v>
      </c>
    </row>
    <row r="67" spans="6:8" x14ac:dyDescent="0.4">
      <c r="F67" s="1">
        <v>9</v>
      </c>
      <c r="G67" s="44">
        <f t="shared" si="2"/>
        <v>0.1</v>
      </c>
      <c r="H67" s="44">
        <v>0</v>
      </c>
    </row>
    <row r="68" spans="6:8" x14ac:dyDescent="0.4">
      <c r="F68" s="1">
        <v>10</v>
      </c>
      <c r="G68" s="44">
        <f t="shared" si="2"/>
        <v>0</v>
      </c>
      <c r="H68" s="44">
        <v>0</v>
      </c>
    </row>
    <row r="69" spans="6:8" x14ac:dyDescent="0.4">
      <c r="F69" s="1">
        <v>11</v>
      </c>
      <c r="G69" s="44">
        <f t="shared" si="2"/>
        <v>0</v>
      </c>
      <c r="H69" s="44">
        <v>0</v>
      </c>
    </row>
    <row r="70" spans="6:8" x14ac:dyDescent="0.4">
      <c r="F70" s="1">
        <v>12</v>
      </c>
      <c r="G70" s="44">
        <f t="shared" si="2"/>
        <v>0</v>
      </c>
      <c r="H70" s="44">
        <v>0</v>
      </c>
    </row>
    <row r="71" spans="6:8" x14ac:dyDescent="0.4">
      <c r="F71" s="1">
        <v>13</v>
      </c>
      <c r="G71" s="44">
        <f t="shared" si="2"/>
        <v>0</v>
      </c>
      <c r="H71" s="44">
        <v>0</v>
      </c>
    </row>
    <row r="72" spans="6:8" x14ac:dyDescent="0.4">
      <c r="F72" s="1">
        <v>14</v>
      </c>
      <c r="G72" s="44">
        <f t="shared" si="2"/>
        <v>0</v>
      </c>
      <c r="H72" s="44">
        <v>0</v>
      </c>
    </row>
    <row r="73" spans="6:8" x14ac:dyDescent="0.4">
      <c r="F73" s="1">
        <v>15</v>
      </c>
      <c r="G73" s="44">
        <f t="shared" si="2"/>
        <v>0</v>
      </c>
      <c r="H73" s="44">
        <v>0</v>
      </c>
    </row>
    <row r="74" spans="6:8" x14ac:dyDescent="0.4">
      <c r="F74" s="1">
        <v>16</v>
      </c>
      <c r="G74" s="44">
        <f t="shared" si="2"/>
        <v>0.1</v>
      </c>
      <c r="H74" s="44">
        <v>0</v>
      </c>
    </row>
    <row r="75" spans="6:8" x14ac:dyDescent="0.4">
      <c r="F75" s="1">
        <v>17</v>
      </c>
      <c r="G75" s="44">
        <f t="shared" si="2"/>
        <v>0</v>
      </c>
      <c r="H75" s="44">
        <v>0</v>
      </c>
    </row>
    <row r="76" spans="6:8" x14ac:dyDescent="0.4">
      <c r="F76" s="1">
        <v>18</v>
      </c>
      <c r="G76" s="44">
        <f t="shared" si="2"/>
        <v>0</v>
      </c>
      <c r="H76" s="44">
        <v>0</v>
      </c>
    </row>
    <row r="77" spans="6:8" x14ac:dyDescent="0.4">
      <c r="F77" s="1">
        <v>19</v>
      </c>
      <c r="G77" s="44">
        <f t="shared" si="2"/>
        <v>0</v>
      </c>
      <c r="H77" s="44">
        <v>0</v>
      </c>
    </row>
    <row r="78" spans="6:8" x14ac:dyDescent="0.4">
      <c r="F78" s="1">
        <v>20</v>
      </c>
      <c r="G78" s="44">
        <f t="shared" si="2"/>
        <v>0</v>
      </c>
      <c r="H78" s="44">
        <v>0</v>
      </c>
    </row>
    <row r="79" spans="6:8" x14ac:dyDescent="0.4">
      <c r="F79" s="1">
        <v>21</v>
      </c>
      <c r="G79" s="44">
        <f t="shared" si="2"/>
        <v>0</v>
      </c>
      <c r="H79" s="44">
        <v>0</v>
      </c>
    </row>
    <row r="80" spans="6:8" x14ac:dyDescent="0.4">
      <c r="F80" s="1">
        <v>22</v>
      </c>
      <c r="G80" s="44">
        <f t="shared" si="2"/>
        <v>0</v>
      </c>
      <c r="H80" s="44">
        <v>0</v>
      </c>
    </row>
    <row r="81" spans="6:8" x14ac:dyDescent="0.4">
      <c r="F81" s="1">
        <v>23</v>
      </c>
      <c r="G81" s="44">
        <f t="shared" si="2"/>
        <v>0</v>
      </c>
      <c r="H81" s="44">
        <v>0</v>
      </c>
    </row>
    <row r="82" spans="6:8" x14ac:dyDescent="0.4">
      <c r="F82" s="1">
        <v>24</v>
      </c>
      <c r="G82" s="44">
        <f t="shared" si="2"/>
        <v>0</v>
      </c>
      <c r="H82" s="44">
        <v>0</v>
      </c>
    </row>
    <row r="83" spans="6:8" x14ac:dyDescent="0.4">
      <c r="F83" s="1">
        <v>25</v>
      </c>
      <c r="G83" s="44">
        <f t="shared" si="2"/>
        <v>0.4</v>
      </c>
      <c r="H83" s="44">
        <v>1</v>
      </c>
    </row>
    <row r="84" spans="6:8" x14ac:dyDescent="0.4">
      <c r="F84" s="1">
        <v>26</v>
      </c>
      <c r="G84" s="44">
        <f t="shared" si="2"/>
        <v>0.1</v>
      </c>
      <c r="H84" s="44">
        <v>0</v>
      </c>
    </row>
    <row r="85" spans="6:8" x14ac:dyDescent="0.4">
      <c r="F85" s="1">
        <v>27</v>
      </c>
      <c r="G85" s="44">
        <f t="shared" si="2"/>
        <v>0.7</v>
      </c>
      <c r="H85" s="44">
        <v>0</v>
      </c>
    </row>
    <row r="86" spans="6:8" x14ac:dyDescent="0.4">
      <c r="F86" s="1">
        <v>28</v>
      </c>
      <c r="G86" s="44">
        <f t="shared" si="2"/>
        <v>1.3</v>
      </c>
      <c r="H86" s="44">
        <v>2</v>
      </c>
    </row>
    <row r="87" spans="6:8" x14ac:dyDescent="0.4">
      <c r="F87" s="1">
        <v>29</v>
      </c>
      <c r="G87" s="44">
        <f t="shared" si="2"/>
        <v>3.3</v>
      </c>
      <c r="H87" s="44">
        <v>3</v>
      </c>
    </row>
    <row r="88" spans="6:8" x14ac:dyDescent="0.4">
      <c r="F88" s="1">
        <v>30</v>
      </c>
      <c r="G88" s="44">
        <f t="shared" si="2"/>
        <v>5.6</v>
      </c>
      <c r="H88" s="44">
        <v>1</v>
      </c>
    </row>
    <row r="89" spans="6:8" x14ac:dyDescent="0.4">
      <c r="F89" s="1">
        <v>31</v>
      </c>
      <c r="G89" s="44">
        <f t="shared" si="2"/>
        <v>10.4</v>
      </c>
      <c r="H89" s="44">
        <v>4</v>
      </c>
    </row>
    <row r="90" spans="6:8" x14ac:dyDescent="0.4">
      <c r="F90" s="1">
        <v>32</v>
      </c>
      <c r="G90" s="44">
        <f t="shared" si="2"/>
        <v>13.6</v>
      </c>
      <c r="H90" s="44">
        <v>7</v>
      </c>
    </row>
    <row r="91" spans="6:8" x14ac:dyDescent="0.4">
      <c r="F91" s="1">
        <v>33</v>
      </c>
      <c r="G91" s="44">
        <f t="shared" si="2"/>
        <v>20.3</v>
      </c>
      <c r="H91" s="44">
        <v>8</v>
      </c>
    </row>
    <row r="92" spans="6:8" x14ac:dyDescent="0.4">
      <c r="F92" s="1">
        <v>34</v>
      </c>
      <c r="G92" s="44">
        <f t="shared" si="2"/>
        <v>20.100000000000001</v>
      </c>
      <c r="H92" s="44">
        <v>15</v>
      </c>
    </row>
    <row r="93" spans="6:8" x14ac:dyDescent="0.4">
      <c r="F93" s="1">
        <v>35</v>
      </c>
      <c r="G93" s="44">
        <f t="shared" si="2"/>
        <v>26.8</v>
      </c>
      <c r="H93" s="44">
        <v>15</v>
      </c>
    </row>
    <row r="94" spans="6:8" x14ac:dyDescent="0.4">
      <c r="F94" s="1">
        <v>36</v>
      </c>
      <c r="G94" s="44">
        <f t="shared" si="2"/>
        <v>22.4</v>
      </c>
      <c r="H94" s="44">
        <v>19</v>
      </c>
    </row>
    <row r="95" spans="6:8" x14ac:dyDescent="0.4">
      <c r="F95" s="1">
        <v>37</v>
      </c>
      <c r="G95" s="44">
        <f t="shared" si="2"/>
        <v>30.8</v>
      </c>
      <c r="H95" s="44">
        <v>39</v>
      </c>
    </row>
    <row r="96" spans="6:8" x14ac:dyDescent="0.4">
      <c r="F96" s="1">
        <v>38</v>
      </c>
      <c r="G96" s="44">
        <f t="shared" si="2"/>
        <v>30.3</v>
      </c>
      <c r="H96" s="44">
        <v>32</v>
      </c>
    </row>
    <row r="97" spans="6:8" x14ac:dyDescent="0.4">
      <c r="F97" s="1">
        <v>39</v>
      </c>
      <c r="G97" s="44">
        <f t="shared" si="2"/>
        <v>32.4</v>
      </c>
      <c r="H97" s="44">
        <v>34</v>
      </c>
    </row>
    <row r="98" spans="6:8" x14ac:dyDescent="0.4">
      <c r="F98" s="1">
        <v>40</v>
      </c>
      <c r="G98" s="44">
        <f t="shared" si="2"/>
        <v>26.9</v>
      </c>
      <c r="H98" s="44">
        <v>48</v>
      </c>
    </row>
    <row r="99" spans="6:8" x14ac:dyDescent="0.4">
      <c r="F99" s="1">
        <v>41</v>
      </c>
      <c r="G99" s="44">
        <f t="shared" si="2"/>
        <v>25</v>
      </c>
      <c r="H99" s="44">
        <v>35</v>
      </c>
    </row>
    <row r="100" spans="6:8" x14ac:dyDescent="0.4">
      <c r="F100" s="1">
        <v>42</v>
      </c>
      <c r="G100" s="44">
        <f t="shared" si="2"/>
        <v>20.100000000000001</v>
      </c>
      <c r="H100" s="44">
        <v>35</v>
      </c>
    </row>
    <row r="101" spans="6:8" x14ac:dyDescent="0.4">
      <c r="F101" s="1">
        <v>43</v>
      </c>
      <c r="G101" s="44">
        <f t="shared" si="2"/>
        <v>19.5</v>
      </c>
      <c r="H101" s="44">
        <v>38</v>
      </c>
    </row>
    <row r="102" spans="6:8" x14ac:dyDescent="0.4">
      <c r="F102" s="1">
        <v>44</v>
      </c>
      <c r="G102" s="44">
        <f t="shared" si="2"/>
        <v>15.1</v>
      </c>
      <c r="H102" s="44">
        <v>38</v>
      </c>
    </row>
    <row r="103" spans="6:8" x14ac:dyDescent="0.4">
      <c r="F103" s="1">
        <v>45</v>
      </c>
      <c r="G103" s="44">
        <f t="shared" si="2"/>
        <v>12.7</v>
      </c>
      <c r="H103" s="44">
        <v>22</v>
      </c>
    </row>
    <row r="104" spans="6:8" x14ac:dyDescent="0.4">
      <c r="F104" s="1">
        <v>46</v>
      </c>
      <c r="G104" s="44">
        <f t="shared" si="2"/>
        <v>8.6</v>
      </c>
      <c r="H104" s="44">
        <v>18</v>
      </c>
    </row>
    <row r="105" spans="6:8" x14ac:dyDescent="0.4">
      <c r="F105" s="1">
        <v>47</v>
      </c>
      <c r="G105" s="44">
        <f t="shared" si="2"/>
        <v>4</v>
      </c>
      <c r="H105" s="44">
        <v>7</v>
      </c>
    </row>
    <row r="106" spans="6:8" x14ac:dyDescent="0.4">
      <c r="F106" s="1">
        <v>48</v>
      </c>
      <c r="G106" s="44">
        <f t="shared" si="2"/>
        <v>6</v>
      </c>
      <c r="H106" s="44">
        <v>10</v>
      </c>
    </row>
    <row r="107" spans="6:8" x14ac:dyDescent="0.4">
      <c r="F107" s="1">
        <v>49</v>
      </c>
      <c r="G107" s="44">
        <f t="shared" si="2"/>
        <v>6.7</v>
      </c>
      <c r="H107" s="44">
        <v>12</v>
      </c>
    </row>
    <row r="108" spans="6:8" x14ac:dyDescent="0.4">
      <c r="F108" s="1">
        <v>50</v>
      </c>
      <c r="G108" s="44">
        <f t="shared" si="2"/>
        <v>4.2</v>
      </c>
      <c r="H108" s="44">
        <v>8</v>
      </c>
    </row>
    <row r="109" spans="6:8" x14ac:dyDescent="0.4">
      <c r="F109" s="1">
        <v>51</v>
      </c>
      <c r="G109" s="44">
        <f t="shared" si="2"/>
        <v>2.1</v>
      </c>
      <c r="H109" s="44">
        <v>12</v>
      </c>
    </row>
    <row r="110" spans="6:8" x14ac:dyDescent="0.4">
      <c r="F110" s="1">
        <v>52</v>
      </c>
      <c r="G110" s="44">
        <f t="shared" si="2"/>
        <v>7.6</v>
      </c>
      <c r="H110" s="44">
        <v>13</v>
      </c>
    </row>
    <row r="111" spans="6:8" x14ac:dyDescent="0.4">
      <c r="F111" s="1">
        <v>53</v>
      </c>
      <c r="G111" s="44">
        <f t="shared" si="2"/>
        <v>3.8</v>
      </c>
      <c r="H111" s="44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10AC-8D8C-4264-9C46-52A738BEFE6A}">
  <dimension ref="A1:Q109"/>
  <sheetViews>
    <sheetView workbookViewId="0">
      <selection activeCell="O1" sqref="O1:Q19"/>
    </sheetView>
  </sheetViews>
  <sheetFormatPr defaultRowHeight="16" x14ac:dyDescent="0.4"/>
  <cols>
    <col min="12" max="12" width="22.33203125" customWidth="1"/>
    <col min="15" max="15" width="20.1640625" customWidth="1"/>
    <col min="16" max="16" width="21.33203125" customWidth="1"/>
    <col min="17" max="17" width="18.08203125" customWidth="1"/>
  </cols>
  <sheetData>
    <row r="1" spans="1:17" x14ac:dyDescent="0.4">
      <c r="A1" s="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2015</v>
      </c>
      <c r="K1">
        <v>2016</v>
      </c>
      <c r="L1" s="44" t="s">
        <v>1</v>
      </c>
      <c r="M1" s="44">
        <v>2014</v>
      </c>
      <c r="O1" t="s">
        <v>64</v>
      </c>
    </row>
    <row r="2" spans="1:17" ht="16.5" thickBot="1" x14ac:dyDescent="0.45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44">
        <f>(SUM(B2:K2)/10)</f>
        <v>0</v>
      </c>
      <c r="M2" s="44">
        <v>0</v>
      </c>
    </row>
    <row r="3" spans="1:17" x14ac:dyDescent="0.4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s="44">
        <f t="shared" ref="L3:L54" si="0">(SUM(B3:K3)/10)</f>
        <v>0</v>
      </c>
      <c r="M3" s="44">
        <v>0</v>
      </c>
      <c r="O3" s="6"/>
      <c r="P3" s="6" t="s">
        <v>1</v>
      </c>
      <c r="Q3" s="6">
        <v>2014</v>
      </c>
    </row>
    <row r="4" spans="1:17" x14ac:dyDescent="0.4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44">
        <f t="shared" si="0"/>
        <v>0</v>
      </c>
      <c r="M4" s="44">
        <v>0</v>
      </c>
      <c r="O4" s="4" t="s">
        <v>17</v>
      </c>
      <c r="P4" s="4">
        <v>6.5811320754716993</v>
      </c>
      <c r="Q4" s="4">
        <v>15.113207547169811</v>
      </c>
    </row>
    <row r="5" spans="1:17" x14ac:dyDescent="0.4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44">
        <f t="shared" si="0"/>
        <v>0</v>
      </c>
      <c r="M5" s="44">
        <v>0</v>
      </c>
      <c r="O5" s="4" t="s">
        <v>34</v>
      </c>
      <c r="P5" s="4">
        <v>83.735406386066714</v>
      </c>
      <c r="Q5" s="4">
        <v>508.02539912917268</v>
      </c>
    </row>
    <row r="6" spans="1:17" x14ac:dyDescent="0.4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44">
        <f t="shared" si="0"/>
        <v>0</v>
      </c>
      <c r="M6" s="44">
        <v>0</v>
      </c>
      <c r="O6" s="4" t="s">
        <v>55</v>
      </c>
      <c r="P6" s="4">
        <v>53</v>
      </c>
      <c r="Q6" s="4">
        <v>53</v>
      </c>
    </row>
    <row r="7" spans="1:17" x14ac:dyDescent="0.4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44">
        <f t="shared" si="0"/>
        <v>0</v>
      </c>
      <c r="M7" s="44">
        <v>0</v>
      </c>
      <c r="O7" s="4" t="s">
        <v>62</v>
      </c>
      <c r="P7" s="4">
        <v>0.96094493032045403</v>
      </c>
      <c r="Q7" s="4"/>
    </row>
    <row r="8" spans="1:17" x14ac:dyDescent="0.4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44">
        <f t="shared" si="0"/>
        <v>0</v>
      </c>
      <c r="M8" s="44">
        <v>0</v>
      </c>
      <c r="O8" s="4" t="s">
        <v>56</v>
      </c>
      <c r="P8" s="4">
        <v>0</v>
      </c>
      <c r="Q8" s="4"/>
    </row>
    <row r="9" spans="1:17" x14ac:dyDescent="0.4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s="44">
        <f t="shared" si="0"/>
        <v>0</v>
      </c>
      <c r="M9" s="44">
        <v>0</v>
      </c>
      <c r="O9" s="4" t="s">
        <v>38</v>
      </c>
      <c r="P9" s="4">
        <v>52</v>
      </c>
      <c r="Q9" s="4"/>
    </row>
    <row r="10" spans="1:17" x14ac:dyDescent="0.4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 s="44">
        <f t="shared" si="0"/>
        <v>0.1</v>
      </c>
      <c r="M10" s="44">
        <v>0</v>
      </c>
      <c r="O10" s="29" t="s">
        <v>57</v>
      </c>
      <c r="P10" s="29">
        <v>-4.443916798030151</v>
      </c>
      <c r="Q10" s="4"/>
    </row>
    <row r="11" spans="1:17" x14ac:dyDescent="0.4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s="44">
        <f t="shared" si="0"/>
        <v>0</v>
      </c>
      <c r="M11" s="44">
        <v>0</v>
      </c>
      <c r="O11" s="4" t="s">
        <v>58</v>
      </c>
      <c r="P11" s="4">
        <v>2.3270208376364028E-5</v>
      </c>
      <c r="Q11" s="4"/>
    </row>
    <row r="12" spans="1:17" x14ac:dyDescent="0.4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44">
        <f t="shared" si="0"/>
        <v>0</v>
      </c>
      <c r="M12" s="44">
        <v>0</v>
      </c>
      <c r="O12" s="4" t="s">
        <v>59</v>
      </c>
      <c r="P12" s="4">
        <v>1.6746891537260258</v>
      </c>
      <c r="Q12" s="4"/>
    </row>
    <row r="13" spans="1:17" x14ac:dyDescent="0.4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44">
        <f t="shared" si="0"/>
        <v>0</v>
      </c>
      <c r="M13" s="44">
        <v>0</v>
      </c>
      <c r="O13" s="4" t="s">
        <v>60</v>
      </c>
      <c r="P13" s="4">
        <v>4.6540416752728056E-5</v>
      </c>
      <c r="Q13" s="4"/>
    </row>
    <row r="14" spans="1:17" ht="16.5" thickBot="1" x14ac:dyDescent="0.45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44">
        <f t="shared" si="0"/>
        <v>0</v>
      </c>
      <c r="M14" s="44">
        <v>0</v>
      </c>
      <c r="O14" s="30" t="s">
        <v>61</v>
      </c>
      <c r="P14" s="30">
        <v>2.0066468050616861</v>
      </c>
      <c r="Q14" s="5"/>
    </row>
    <row r="15" spans="1:17" x14ac:dyDescent="0.4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s="44">
        <f t="shared" si="0"/>
        <v>0</v>
      </c>
      <c r="M15" s="44">
        <v>0</v>
      </c>
    </row>
    <row r="16" spans="1:17" x14ac:dyDescent="0.4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44">
        <f t="shared" si="0"/>
        <v>0</v>
      </c>
      <c r="M16" s="44">
        <v>0</v>
      </c>
      <c r="O16" t="s">
        <v>46</v>
      </c>
      <c r="P16" t="s">
        <v>69</v>
      </c>
    </row>
    <row r="17" spans="1:16" x14ac:dyDescent="0.4">
      <c r="A17" s="1">
        <v>16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44">
        <f t="shared" si="0"/>
        <v>0.1</v>
      </c>
      <c r="M17" s="44">
        <v>0</v>
      </c>
      <c r="O17" t="s">
        <v>47</v>
      </c>
      <c r="P17" t="s">
        <v>67</v>
      </c>
    </row>
    <row r="18" spans="1:16" x14ac:dyDescent="0.4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s="44">
        <f t="shared" si="0"/>
        <v>0</v>
      </c>
      <c r="M18" s="44">
        <v>0</v>
      </c>
    </row>
    <row r="19" spans="1:16" x14ac:dyDescent="0.4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44">
        <f t="shared" si="0"/>
        <v>0</v>
      </c>
      <c r="M19" s="44">
        <v>0</v>
      </c>
      <c r="O19" t="s">
        <v>70</v>
      </c>
      <c r="P19" t="s">
        <v>71</v>
      </c>
    </row>
    <row r="20" spans="1:16" x14ac:dyDescent="0.4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44">
        <f t="shared" si="0"/>
        <v>0</v>
      </c>
      <c r="M20" s="44">
        <v>0</v>
      </c>
    </row>
    <row r="21" spans="1:16" x14ac:dyDescent="0.4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44">
        <f t="shared" si="0"/>
        <v>0</v>
      </c>
      <c r="M21" s="44">
        <v>0</v>
      </c>
    </row>
    <row r="22" spans="1:16" x14ac:dyDescent="0.4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44">
        <f t="shared" si="0"/>
        <v>0</v>
      </c>
      <c r="M22" s="44">
        <v>0</v>
      </c>
    </row>
    <row r="23" spans="1:16" x14ac:dyDescent="0.4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44">
        <f t="shared" si="0"/>
        <v>0</v>
      </c>
      <c r="M23" s="44">
        <v>0</v>
      </c>
    </row>
    <row r="24" spans="1:16" x14ac:dyDescent="0.4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s="44">
        <f t="shared" si="0"/>
        <v>0</v>
      </c>
      <c r="M24" s="44">
        <v>0</v>
      </c>
    </row>
    <row r="25" spans="1:16" x14ac:dyDescent="0.4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44">
        <f t="shared" si="0"/>
        <v>0</v>
      </c>
      <c r="M25" s="44">
        <v>0</v>
      </c>
    </row>
    <row r="26" spans="1:16" x14ac:dyDescent="0.4">
      <c r="A26" s="1">
        <v>25</v>
      </c>
      <c r="B26">
        <v>1</v>
      </c>
      <c r="C26">
        <v>1</v>
      </c>
      <c r="D26">
        <v>1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 s="44">
        <f t="shared" si="0"/>
        <v>0.4</v>
      </c>
      <c r="M26" s="44">
        <v>1</v>
      </c>
    </row>
    <row r="27" spans="1:16" x14ac:dyDescent="0.4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44">
        <f t="shared" si="0"/>
        <v>0</v>
      </c>
      <c r="M27" s="44">
        <v>1</v>
      </c>
    </row>
    <row r="28" spans="1:16" x14ac:dyDescent="0.4">
      <c r="A28" s="1">
        <v>27</v>
      </c>
      <c r="B28">
        <v>0</v>
      </c>
      <c r="C28">
        <v>2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44">
        <f t="shared" si="0"/>
        <v>0.4</v>
      </c>
      <c r="M28" s="44">
        <v>3</v>
      </c>
    </row>
    <row r="29" spans="1:16" x14ac:dyDescent="0.4">
      <c r="A29" s="1">
        <v>28</v>
      </c>
      <c r="B29">
        <v>0</v>
      </c>
      <c r="C29">
        <v>6</v>
      </c>
      <c r="D29">
        <v>0</v>
      </c>
      <c r="E29">
        <v>0</v>
      </c>
      <c r="F29">
        <v>2</v>
      </c>
      <c r="G29">
        <v>0</v>
      </c>
      <c r="H29">
        <v>2</v>
      </c>
      <c r="I29">
        <v>0</v>
      </c>
      <c r="J29">
        <v>0</v>
      </c>
      <c r="K29">
        <v>0</v>
      </c>
      <c r="L29" s="44">
        <f t="shared" si="0"/>
        <v>1</v>
      </c>
      <c r="M29" s="44">
        <v>5</v>
      </c>
    </row>
    <row r="30" spans="1:16" x14ac:dyDescent="0.4">
      <c r="A30" s="1">
        <v>29</v>
      </c>
      <c r="B30">
        <v>4</v>
      </c>
      <c r="C30">
        <v>18</v>
      </c>
      <c r="D30">
        <v>3</v>
      </c>
      <c r="E30">
        <v>1</v>
      </c>
      <c r="F30">
        <v>2</v>
      </c>
      <c r="G30">
        <v>1</v>
      </c>
      <c r="H30">
        <v>3</v>
      </c>
      <c r="I30">
        <v>0</v>
      </c>
      <c r="J30">
        <v>1</v>
      </c>
      <c r="K30">
        <v>0</v>
      </c>
      <c r="L30" s="44">
        <f t="shared" si="0"/>
        <v>3.3</v>
      </c>
      <c r="M30" s="44">
        <v>3</v>
      </c>
    </row>
    <row r="31" spans="1:16" x14ac:dyDescent="0.4">
      <c r="A31" s="1">
        <v>30</v>
      </c>
      <c r="B31">
        <v>11</v>
      </c>
      <c r="C31">
        <v>15</v>
      </c>
      <c r="D31">
        <v>6</v>
      </c>
      <c r="E31">
        <v>1</v>
      </c>
      <c r="F31">
        <v>3</v>
      </c>
      <c r="G31">
        <v>0</v>
      </c>
      <c r="H31">
        <v>1</v>
      </c>
      <c r="I31">
        <v>3</v>
      </c>
      <c r="J31">
        <v>9</v>
      </c>
      <c r="K31">
        <v>3</v>
      </c>
      <c r="L31" s="44">
        <f t="shared" si="0"/>
        <v>5.2</v>
      </c>
      <c r="M31" s="44">
        <v>5</v>
      </c>
    </row>
    <row r="32" spans="1:16" x14ac:dyDescent="0.4">
      <c r="A32" s="1">
        <v>31</v>
      </c>
      <c r="B32">
        <v>4</v>
      </c>
      <c r="C32">
        <v>22</v>
      </c>
      <c r="D32">
        <v>16</v>
      </c>
      <c r="E32">
        <v>3</v>
      </c>
      <c r="F32">
        <v>6</v>
      </c>
      <c r="G32">
        <v>6</v>
      </c>
      <c r="H32">
        <v>4</v>
      </c>
      <c r="I32">
        <v>10</v>
      </c>
      <c r="J32">
        <v>12</v>
      </c>
      <c r="K32">
        <v>7</v>
      </c>
      <c r="L32" s="44">
        <f t="shared" si="0"/>
        <v>9</v>
      </c>
      <c r="M32" s="44">
        <v>18</v>
      </c>
    </row>
    <row r="33" spans="1:13" x14ac:dyDescent="0.4">
      <c r="A33" s="1">
        <v>32</v>
      </c>
      <c r="B33">
        <v>18</v>
      </c>
      <c r="C33">
        <v>22</v>
      </c>
      <c r="D33">
        <v>26</v>
      </c>
      <c r="E33">
        <v>5</v>
      </c>
      <c r="F33">
        <v>4</v>
      </c>
      <c r="G33">
        <v>3</v>
      </c>
      <c r="H33">
        <v>7</v>
      </c>
      <c r="I33">
        <v>4</v>
      </c>
      <c r="J33">
        <v>24</v>
      </c>
      <c r="K33">
        <v>12</v>
      </c>
      <c r="L33" s="44">
        <f t="shared" si="0"/>
        <v>12.5</v>
      </c>
      <c r="M33" s="44">
        <v>18</v>
      </c>
    </row>
    <row r="34" spans="1:13" x14ac:dyDescent="0.4">
      <c r="A34" s="1">
        <v>33</v>
      </c>
      <c r="B34">
        <v>30</v>
      </c>
      <c r="C34">
        <v>34</v>
      </c>
      <c r="D34">
        <v>19</v>
      </c>
      <c r="E34">
        <v>0</v>
      </c>
      <c r="F34">
        <v>6</v>
      </c>
      <c r="G34">
        <v>2</v>
      </c>
      <c r="H34">
        <v>8</v>
      </c>
      <c r="I34">
        <v>19</v>
      </c>
      <c r="J34">
        <v>31</v>
      </c>
      <c r="K34">
        <v>24</v>
      </c>
      <c r="L34" s="44">
        <f t="shared" si="0"/>
        <v>17.3</v>
      </c>
      <c r="M34" s="44">
        <v>38</v>
      </c>
    </row>
    <row r="35" spans="1:13" x14ac:dyDescent="0.4">
      <c r="A35" s="1">
        <v>34</v>
      </c>
      <c r="B35">
        <v>28</v>
      </c>
      <c r="C35">
        <v>27</v>
      </c>
      <c r="D35">
        <v>19</v>
      </c>
      <c r="E35">
        <v>9</v>
      </c>
      <c r="F35">
        <v>5</v>
      </c>
      <c r="G35">
        <v>7</v>
      </c>
      <c r="H35">
        <v>15</v>
      </c>
      <c r="I35">
        <v>22</v>
      </c>
      <c r="J35">
        <v>20</v>
      </c>
      <c r="K35">
        <v>31</v>
      </c>
      <c r="L35" s="44">
        <f t="shared" si="0"/>
        <v>18.3</v>
      </c>
      <c r="M35" s="44">
        <v>33</v>
      </c>
    </row>
    <row r="36" spans="1:13" x14ac:dyDescent="0.4">
      <c r="A36" s="1">
        <v>35</v>
      </c>
      <c r="B36">
        <v>42</v>
      </c>
      <c r="C36">
        <v>25</v>
      </c>
      <c r="D36">
        <v>34</v>
      </c>
      <c r="E36">
        <v>7</v>
      </c>
      <c r="F36">
        <v>7</v>
      </c>
      <c r="G36">
        <v>8</v>
      </c>
      <c r="H36">
        <v>15</v>
      </c>
      <c r="I36">
        <v>27</v>
      </c>
      <c r="J36">
        <v>19</v>
      </c>
      <c r="K36">
        <v>46</v>
      </c>
      <c r="L36" s="44">
        <f t="shared" si="0"/>
        <v>23</v>
      </c>
      <c r="M36" s="44">
        <v>53</v>
      </c>
    </row>
    <row r="37" spans="1:13" x14ac:dyDescent="0.4">
      <c r="A37" s="1">
        <v>36</v>
      </c>
      <c r="B37">
        <v>20</v>
      </c>
      <c r="C37">
        <v>26</v>
      </c>
      <c r="D37">
        <v>30</v>
      </c>
      <c r="E37">
        <v>8</v>
      </c>
      <c r="F37">
        <v>3</v>
      </c>
      <c r="G37">
        <v>6</v>
      </c>
      <c r="H37">
        <v>19</v>
      </c>
      <c r="I37">
        <v>15</v>
      </c>
      <c r="J37">
        <v>31</v>
      </c>
      <c r="K37">
        <v>32</v>
      </c>
      <c r="L37" s="44">
        <f t="shared" si="0"/>
        <v>19</v>
      </c>
      <c r="M37" s="44">
        <v>53</v>
      </c>
    </row>
    <row r="38" spans="1:13" x14ac:dyDescent="0.4">
      <c r="A38" s="1">
        <v>37</v>
      </c>
      <c r="B38">
        <v>38</v>
      </c>
      <c r="C38">
        <v>33</v>
      </c>
      <c r="D38">
        <v>37</v>
      </c>
      <c r="E38">
        <v>13</v>
      </c>
      <c r="F38">
        <v>7</v>
      </c>
      <c r="G38">
        <v>15</v>
      </c>
      <c r="H38">
        <v>39</v>
      </c>
      <c r="I38">
        <v>16</v>
      </c>
      <c r="J38">
        <v>34</v>
      </c>
      <c r="K38">
        <v>44</v>
      </c>
      <c r="L38" s="44">
        <f t="shared" si="0"/>
        <v>27.6</v>
      </c>
      <c r="M38" s="44">
        <v>71</v>
      </c>
    </row>
    <row r="39" spans="1:13" x14ac:dyDescent="0.4">
      <c r="A39" s="1">
        <v>38</v>
      </c>
      <c r="B39">
        <v>18</v>
      </c>
      <c r="C39">
        <v>25</v>
      </c>
      <c r="D39">
        <v>38</v>
      </c>
      <c r="E39">
        <v>12</v>
      </c>
      <c r="F39">
        <v>7</v>
      </c>
      <c r="G39">
        <v>19</v>
      </c>
      <c r="H39">
        <v>32</v>
      </c>
      <c r="I39">
        <v>33</v>
      </c>
      <c r="J39">
        <v>52</v>
      </c>
      <c r="K39">
        <v>35</v>
      </c>
      <c r="L39" s="44">
        <f t="shared" si="0"/>
        <v>27.1</v>
      </c>
      <c r="M39" s="44">
        <v>64</v>
      </c>
    </row>
    <row r="40" spans="1:13" x14ac:dyDescent="0.4">
      <c r="A40" s="1">
        <v>39</v>
      </c>
      <c r="B40">
        <v>22</v>
      </c>
      <c r="C40">
        <v>34</v>
      </c>
      <c r="D40">
        <v>38</v>
      </c>
      <c r="E40">
        <v>9</v>
      </c>
      <c r="F40">
        <v>10</v>
      </c>
      <c r="G40">
        <v>20</v>
      </c>
      <c r="H40">
        <v>34</v>
      </c>
      <c r="I40">
        <v>26</v>
      </c>
      <c r="J40">
        <v>67</v>
      </c>
      <c r="K40">
        <v>42</v>
      </c>
      <c r="L40" s="44">
        <f t="shared" si="0"/>
        <v>30.2</v>
      </c>
      <c r="M40" s="44">
        <v>56</v>
      </c>
    </row>
    <row r="41" spans="1:13" x14ac:dyDescent="0.4">
      <c r="A41" s="1">
        <v>40</v>
      </c>
      <c r="B41">
        <v>5</v>
      </c>
      <c r="C41">
        <v>32</v>
      </c>
      <c r="D41">
        <v>23</v>
      </c>
      <c r="E41">
        <v>9</v>
      </c>
      <c r="F41">
        <v>5</v>
      </c>
      <c r="G41">
        <v>17</v>
      </c>
      <c r="H41">
        <v>48</v>
      </c>
      <c r="I41">
        <v>29</v>
      </c>
      <c r="J41">
        <v>60</v>
      </c>
      <c r="K41">
        <v>34</v>
      </c>
      <c r="L41" s="44">
        <f t="shared" si="0"/>
        <v>26.2</v>
      </c>
      <c r="M41" s="44">
        <v>55</v>
      </c>
    </row>
    <row r="42" spans="1:13" x14ac:dyDescent="0.4">
      <c r="A42" s="1">
        <v>41</v>
      </c>
      <c r="B42">
        <v>11</v>
      </c>
      <c r="C42">
        <v>21</v>
      </c>
      <c r="D42">
        <v>34</v>
      </c>
      <c r="E42">
        <v>6</v>
      </c>
      <c r="F42">
        <v>2</v>
      </c>
      <c r="G42">
        <v>9</v>
      </c>
      <c r="H42">
        <v>35</v>
      </c>
      <c r="I42">
        <v>31</v>
      </c>
      <c r="J42">
        <v>45</v>
      </c>
      <c r="K42">
        <v>17</v>
      </c>
      <c r="L42" s="44">
        <f t="shared" si="0"/>
        <v>21.1</v>
      </c>
      <c r="M42" s="44">
        <v>74</v>
      </c>
    </row>
    <row r="43" spans="1:13" x14ac:dyDescent="0.4">
      <c r="A43" s="1">
        <v>42</v>
      </c>
      <c r="B43">
        <v>4</v>
      </c>
      <c r="C43">
        <v>10</v>
      </c>
      <c r="D43">
        <v>2</v>
      </c>
      <c r="E43">
        <v>9</v>
      </c>
      <c r="F43">
        <v>14</v>
      </c>
      <c r="G43">
        <v>9</v>
      </c>
      <c r="H43">
        <v>35</v>
      </c>
      <c r="I43">
        <v>36</v>
      </c>
      <c r="J43">
        <v>51</v>
      </c>
      <c r="K43">
        <v>20</v>
      </c>
      <c r="L43" s="44">
        <f t="shared" si="0"/>
        <v>19</v>
      </c>
      <c r="M43" s="44">
        <v>46</v>
      </c>
    </row>
    <row r="44" spans="1:13" x14ac:dyDescent="0.4">
      <c r="A44" s="1">
        <v>43</v>
      </c>
      <c r="B44">
        <v>6</v>
      </c>
      <c r="C44">
        <v>7</v>
      </c>
      <c r="D44">
        <v>14</v>
      </c>
      <c r="E44">
        <v>5</v>
      </c>
      <c r="F44">
        <v>11</v>
      </c>
      <c r="G44">
        <v>7</v>
      </c>
      <c r="H44">
        <v>38</v>
      </c>
      <c r="I44">
        <v>25</v>
      </c>
      <c r="J44">
        <v>52</v>
      </c>
      <c r="K44">
        <v>23</v>
      </c>
      <c r="L44" s="44">
        <f t="shared" si="0"/>
        <v>18.8</v>
      </c>
      <c r="M44" s="44">
        <v>45</v>
      </c>
    </row>
    <row r="45" spans="1:13" x14ac:dyDescent="0.4">
      <c r="A45" s="1">
        <v>44</v>
      </c>
      <c r="B45">
        <v>3</v>
      </c>
      <c r="C45">
        <v>7</v>
      </c>
      <c r="D45">
        <v>10</v>
      </c>
      <c r="E45">
        <v>3</v>
      </c>
      <c r="F45">
        <v>3</v>
      </c>
      <c r="G45">
        <v>11</v>
      </c>
      <c r="H45">
        <v>38</v>
      </c>
      <c r="I45">
        <v>22</v>
      </c>
      <c r="J45">
        <v>40</v>
      </c>
      <c r="K45">
        <v>0</v>
      </c>
      <c r="L45" s="44">
        <f t="shared" si="0"/>
        <v>13.7</v>
      </c>
      <c r="M45" s="44">
        <v>52</v>
      </c>
    </row>
    <row r="46" spans="1:13" x14ac:dyDescent="0.4">
      <c r="A46" s="1">
        <v>45</v>
      </c>
      <c r="B46">
        <v>3</v>
      </c>
      <c r="C46">
        <v>4</v>
      </c>
      <c r="D46">
        <v>25</v>
      </c>
      <c r="E46">
        <v>2</v>
      </c>
      <c r="F46">
        <v>1</v>
      </c>
      <c r="G46">
        <v>5</v>
      </c>
      <c r="H46">
        <v>22</v>
      </c>
      <c r="I46">
        <v>20</v>
      </c>
      <c r="J46">
        <v>39</v>
      </c>
      <c r="K46">
        <v>0</v>
      </c>
      <c r="L46" s="44">
        <f t="shared" si="0"/>
        <v>12.1</v>
      </c>
      <c r="M46" s="44">
        <v>28</v>
      </c>
    </row>
    <row r="47" spans="1:13" x14ac:dyDescent="0.4">
      <c r="A47" s="1">
        <v>46</v>
      </c>
      <c r="B47">
        <v>3</v>
      </c>
      <c r="C47">
        <v>3</v>
      </c>
      <c r="D47">
        <v>12</v>
      </c>
      <c r="E47">
        <v>1</v>
      </c>
      <c r="F47">
        <v>0</v>
      </c>
      <c r="G47">
        <v>5</v>
      </c>
      <c r="H47">
        <v>18</v>
      </c>
      <c r="I47">
        <v>10</v>
      </c>
      <c r="J47">
        <v>36</v>
      </c>
      <c r="K47">
        <v>0</v>
      </c>
      <c r="L47" s="44">
        <f t="shared" si="0"/>
        <v>8.8000000000000007</v>
      </c>
      <c r="M47" s="44">
        <v>16</v>
      </c>
    </row>
    <row r="48" spans="1:13" x14ac:dyDescent="0.4">
      <c r="A48" s="1">
        <v>47</v>
      </c>
      <c r="B48">
        <v>0</v>
      </c>
      <c r="C48">
        <v>0</v>
      </c>
      <c r="D48">
        <v>7</v>
      </c>
      <c r="E48">
        <v>0</v>
      </c>
      <c r="F48">
        <v>2</v>
      </c>
      <c r="G48">
        <v>1</v>
      </c>
      <c r="H48">
        <v>7</v>
      </c>
      <c r="I48">
        <v>7</v>
      </c>
      <c r="J48">
        <v>14</v>
      </c>
      <c r="K48">
        <v>0</v>
      </c>
      <c r="L48" s="44">
        <f t="shared" si="0"/>
        <v>3.8</v>
      </c>
      <c r="M48" s="44">
        <v>9</v>
      </c>
    </row>
    <row r="49" spans="1:13" x14ac:dyDescent="0.4">
      <c r="A49" s="1">
        <v>48</v>
      </c>
      <c r="B49">
        <v>1</v>
      </c>
      <c r="C49">
        <v>2</v>
      </c>
      <c r="D49">
        <v>1</v>
      </c>
      <c r="E49">
        <v>1</v>
      </c>
      <c r="F49">
        <v>3</v>
      </c>
      <c r="G49">
        <v>3</v>
      </c>
      <c r="H49">
        <v>10</v>
      </c>
      <c r="I49">
        <v>4</v>
      </c>
      <c r="J49">
        <v>38</v>
      </c>
      <c r="K49">
        <v>0</v>
      </c>
      <c r="L49" s="44">
        <f t="shared" si="0"/>
        <v>6.3</v>
      </c>
      <c r="M49" s="44">
        <v>7</v>
      </c>
    </row>
    <row r="50" spans="1:13" x14ac:dyDescent="0.4">
      <c r="A50" s="1">
        <v>49</v>
      </c>
      <c r="B50">
        <v>0</v>
      </c>
      <c r="C50">
        <v>2</v>
      </c>
      <c r="D50">
        <v>10</v>
      </c>
      <c r="E50">
        <v>1</v>
      </c>
      <c r="F50">
        <v>2</v>
      </c>
      <c r="G50">
        <v>0</v>
      </c>
      <c r="H50">
        <v>12</v>
      </c>
      <c r="I50">
        <v>3</v>
      </c>
      <c r="J50">
        <v>27</v>
      </c>
      <c r="K50">
        <v>0</v>
      </c>
      <c r="L50" s="44">
        <f t="shared" si="0"/>
        <v>5.7</v>
      </c>
      <c r="M50" s="44">
        <v>22</v>
      </c>
    </row>
    <row r="51" spans="1:13" x14ac:dyDescent="0.4">
      <c r="A51" s="1">
        <v>50</v>
      </c>
      <c r="B51">
        <v>0</v>
      </c>
      <c r="C51">
        <v>1</v>
      </c>
      <c r="D51">
        <v>4</v>
      </c>
      <c r="E51">
        <v>1</v>
      </c>
      <c r="F51">
        <v>0</v>
      </c>
      <c r="G51">
        <v>1</v>
      </c>
      <c r="H51">
        <v>8</v>
      </c>
      <c r="I51">
        <v>3</v>
      </c>
      <c r="J51">
        <v>28</v>
      </c>
      <c r="K51">
        <v>0</v>
      </c>
      <c r="L51" s="44">
        <f t="shared" si="0"/>
        <v>4.5999999999999996</v>
      </c>
      <c r="M51" s="44">
        <v>4</v>
      </c>
    </row>
    <row r="52" spans="1:13" x14ac:dyDescent="0.4">
      <c r="A52" s="1">
        <v>51</v>
      </c>
      <c r="B52">
        <v>0</v>
      </c>
      <c r="C52">
        <v>0</v>
      </c>
      <c r="D52">
        <v>5</v>
      </c>
      <c r="E52">
        <v>1</v>
      </c>
      <c r="F52">
        <v>0</v>
      </c>
      <c r="G52">
        <v>0</v>
      </c>
      <c r="H52">
        <v>12</v>
      </c>
      <c r="I52">
        <v>9</v>
      </c>
      <c r="J52">
        <v>4</v>
      </c>
      <c r="K52">
        <v>0</v>
      </c>
      <c r="L52" s="44">
        <f t="shared" si="0"/>
        <v>3.1</v>
      </c>
      <c r="M52" s="44">
        <v>2</v>
      </c>
    </row>
    <row r="53" spans="1:13" x14ac:dyDescent="0.4">
      <c r="A53" s="1">
        <v>52</v>
      </c>
      <c r="B53">
        <v>0</v>
      </c>
      <c r="C53">
        <v>0</v>
      </c>
      <c r="D53">
        <v>0</v>
      </c>
      <c r="E53">
        <v>5</v>
      </c>
      <c r="F53">
        <v>1</v>
      </c>
      <c r="G53">
        <v>3</v>
      </c>
      <c r="H53">
        <v>13</v>
      </c>
      <c r="I53">
        <v>0</v>
      </c>
      <c r="J53">
        <v>48</v>
      </c>
      <c r="K53">
        <v>0</v>
      </c>
      <c r="L53" s="44">
        <f t="shared" si="0"/>
        <v>7</v>
      </c>
      <c r="M53" s="44">
        <v>19</v>
      </c>
    </row>
    <row r="54" spans="1:13" x14ac:dyDescent="0.4">
      <c r="A54" s="1">
        <v>53</v>
      </c>
      <c r="B54">
        <v>0</v>
      </c>
      <c r="C54">
        <v>0</v>
      </c>
      <c r="D54">
        <v>29</v>
      </c>
      <c r="E54">
        <v>0</v>
      </c>
      <c r="F54">
        <v>5</v>
      </c>
      <c r="G54">
        <v>0</v>
      </c>
      <c r="H54">
        <v>3</v>
      </c>
      <c r="I54">
        <v>4</v>
      </c>
      <c r="J54">
        <v>0</v>
      </c>
      <c r="K54">
        <v>0</v>
      </c>
      <c r="L54" s="44">
        <f t="shared" si="0"/>
        <v>4.0999999999999996</v>
      </c>
      <c r="M54" s="44">
        <v>0</v>
      </c>
    </row>
    <row r="56" spans="1:13" x14ac:dyDescent="0.4">
      <c r="B56" s="1" t="s">
        <v>0</v>
      </c>
      <c r="C56" s="44" t="s">
        <v>1</v>
      </c>
      <c r="D56" s="44" t="s">
        <v>73</v>
      </c>
    </row>
    <row r="57" spans="1:13" x14ac:dyDescent="0.4">
      <c r="B57" s="1">
        <v>1</v>
      </c>
      <c r="C57">
        <f>(SUM(B2:K2)/10)</f>
        <v>0</v>
      </c>
      <c r="D57" s="44">
        <v>0</v>
      </c>
    </row>
    <row r="58" spans="1:13" x14ac:dyDescent="0.4">
      <c r="B58" s="1">
        <v>2</v>
      </c>
      <c r="C58">
        <f t="shared" ref="C58:C109" si="1">(SUM(B3:K3)/10)</f>
        <v>0</v>
      </c>
      <c r="D58" s="44">
        <v>0</v>
      </c>
    </row>
    <row r="59" spans="1:13" x14ac:dyDescent="0.4">
      <c r="B59" s="1">
        <v>3</v>
      </c>
      <c r="C59">
        <f t="shared" si="1"/>
        <v>0</v>
      </c>
      <c r="D59" s="44">
        <v>0</v>
      </c>
    </row>
    <row r="60" spans="1:13" x14ac:dyDescent="0.4">
      <c r="B60" s="1">
        <v>4</v>
      </c>
      <c r="C60">
        <f t="shared" si="1"/>
        <v>0</v>
      </c>
      <c r="D60" s="44">
        <v>0</v>
      </c>
    </row>
    <row r="61" spans="1:13" x14ac:dyDescent="0.4">
      <c r="B61" s="1">
        <v>5</v>
      </c>
      <c r="C61">
        <f t="shared" si="1"/>
        <v>0</v>
      </c>
      <c r="D61" s="44">
        <v>0</v>
      </c>
    </row>
    <row r="62" spans="1:13" x14ac:dyDescent="0.4">
      <c r="B62" s="1">
        <v>6</v>
      </c>
      <c r="C62">
        <f t="shared" si="1"/>
        <v>0</v>
      </c>
      <c r="D62" s="44">
        <v>0</v>
      </c>
    </row>
    <row r="63" spans="1:13" x14ac:dyDescent="0.4">
      <c r="B63" s="1">
        <v>7</v>
      </c>
      <c r="C63">
        <f t="shared" si="1"/>
        <v>0</v>
      </c>
      <c r="D63" s="44">
        <v>0</v>
      </c>
    </row>
    <row r="64" spans="1:13" x14ac:dyDescent="0.4">
      <c r="B64" s="1">
        <v>8</v>
      </c>
      <c r="C64">
        <f t="shared" si="1"/>
        <v>0</v>
      </c>
      <c r="D64" s="44">
        <v>0</v>
      </c>
    </row>
    <row r="65" spans="2:4" x14ac:dyDescent="0.4">
      <c r="B65" s="1">
        <v>9</v>
      </c>
      <c r="C65">
        <f t="shared" si="1"/>
        <v>0.1</v>
      </c>
      <c r="D65" s="44">
        <v>0</v>
      </c>
    </row>
    <row r="66" spans="2:4" x14ac:dyDescent="0.4">
      <c r="B66" s="1">
        <v>10</v>
      </c>
      <c r="C66">
        <f t="shared" si="1"/>
        <v>0</v>
      </c>
      <c r="D66" s="44">
        <v>0</v>
      </c>
    </row>
    <row r="67" spans="2:4" x14ac:dyDescent="0.4">
      <c r="B67" s="1">
        <v>11</v>
      </c>
      <c r="C67">
        <f t="shared" si="1"/>
        <v>0</v>
      </c>
      <c r="D67" s="44">
        <v>0</v>
      </c>
    </row>
    <row r="68" spans="2:4" x14ac:dyDescent="0.4">
      <c r="B68" s="1">
        <v>12</v>
      </c>
      <c r="C68">
        <f t="shared" si="1"/>
        <v>0</v>
      </c>
      <c r="D68" s="44">
        <v>0</v>
      </c>
    </row>
    <row r="69" spans="2:4" x14ac:dyDescent="0.4">
      <c r="B69" s="1">
        <v>13</v>
      </c>
      <c r="C69">
        <f t="shared" si="1"/>
        <v>0</v>
      </c>
      <c r="D69" s="44">
        <v>0</v>
      </c>
    </row>
    <row r="70" spans="2:4" x14ac:dyDescent="0.4">
      <c r="B70" s="1">
        <v>14</v>
      </c>
      <c r="C70">
        <f t="shared" si="1"/>
        <v>0</v>
      </c>
      <c r="D70" s="44">
        <v>0</v>
      </c>
    </row>
    <row r="71" spans="2:4" x14ac:dyDescent="0.4">
      <c r="B71" s="1">
        <v>15</v>
      </c>
      <c r="C71">
        <f t="shared" si="1"/>
        <v>0</v>
      </c>
      <c r="D71" s="44">
        <v>0</v>
      </c>
    </row>
    <row r="72" spans="2:4" x14ac:dyDescent="0.4">
      <c r="B72" s="1">
        <v>16</v>
      </c>
      <c r="C72">
        <f t="shared" si="1"/>
        <v>0.1</v>
      </c>
      <c r="D72" s="44">
        <v>0</v>
      </c>
    </row>
    <row r="73" spans="2:4" x14ac:dyDescent="0.4">
      <c r="B73" s="1">
        <v>17</v>
      </c>
      <c r="C73">
        <f t="shared" si="1"/>
        <v>0</v>
      </c>
      <c r="D73" s="44">
        <v>0</v>
      </c>
    </row>
    <row r="74" spans="2:4" x14ac:dyDescent="0.4">
      <c r="B74" s="1">
        <v>18</v>
      </c>
      <c r="C74">
        <f t="shared" si="1"/>
        <v>0</v>
      </c>
      <c r="D74" s="44">
        <v>0</v>
      </c>
    </row>
    <row r="75" spans="2:4" x14ac:dyDescent="0.4">
      <c r="B75" s="1">
        <v>19</v>
      </c>
      <c r="C75">
        <f t="shared" si="1"/>
        <v>0</v>
      </c>
      <c r="D75" s="44">
        <v>0</v>
      </c>
    </row>
    <row r="76" spans="2:4" x14ac:dyDescent="0.4">
      <c r="B76" s="1">
        <v>20</v>
      </c>
      <c r="C76">
        <f t="shared" si="1"/>
        <v>0</v>
      </c>
      <c r="D76" s="44">
        <v>0</v>
      </c>
    </row>
    <row r="77" spans="2:4" x14ac:dyDescent="0.4">
      <c r="B77" s="1">
        <v>21</v>
      </c>
      <c r="C77">
        <f t="shared" si="1"/>
        <v>0</v>
      </c>
      <c r="D77" s="44">
        <v>0</v>
      </c>
    </row>
    <row r="78" spans="2:4" x14ac:dyDescent="0.4">
      <c r="B78" s="1">
        <v>22</v>
      </c>
      <c r="C78">
        <f t="shared" si="1"/>
        <v>0</v>
      </c>
      <c r="D78" s="44">
        <v>0</v>
      </c>
    </row>
    <row r="79" spans="2:4" x14ac:dyDescent="0.4">
      <c r="B79" s="1">
        <v>23</v>
      </c>
      <c r="C79">
        <f t="shared" si="1"/>
        <v>0</v>
      </c>
      <c r="D79" s="44">
        <v>0</v>
      </c>
    </row>
    <row r="80" spans="2:4" x14ac:dyDescent="0.4">
      <c r="B80" s="1">
        <v>24</v>
      </c>
      <c r="C80">
        <f t="shared" si="1"/>
        <v>0</v>
      </c>
      <c r="D80" s="44">
        <v>0</v>
      </c>
    </row>
    <row r="81" spans="2:4" x14ac:dyDescent="0.4">
      <c r="B81" s="1">
        <v>25</v>
      </c>
      <c r="C81">
        <f t="shared" si="1"/>
        <v>0.4</v>
      </c>
      <c r="D81" s="44">
        <v>1</v>
      </c>
    </row>
    <row r="82" spans="2:4" x14ac:dyDescent="0.4">
      <c r="B82" s="1">
        <v>26</v>
      </c>
      <c r="C82">
        <f t="shared" si="1"/>
        <v>0</v>
      </c>
      <c r="D82" s="44">
        <v>1</v>
      </c>
    </row>
    <row r="83" spans="2:4" x14ac:dyDescent="0.4">
      <c r="B83" s="1">
        <v>27</v>
      </c>
      <c r="C83">
        <f t="shared" si="1"/>
        <v>0.4</v>
      </c>
      <c r="D83" s="44">
        <v>3</v>
      </c>
    </row>
    <row r="84" spans="2:4" x14ac:dyDescent="0.4">
      <c r="B84" s="1">
        <v>28</v>
      </c>
      <c r="C84">
        <f t="shared" si="1"/>
        <v>1</v>
      </c>
      <c r="D84" s="44">
        <v>5</v>
      </c>
    </row>
    <row r="85" spans="2:4" x14ac:dyDescent="0.4">
      <c r="B85" s="1">
        <v>29</v>
      </c>
      <c r="C85">
        <f t="shared" si="1"/>
        <v>3.3</v>
      </c>
      <c r="D85" s="44">
        <v>3</v>
      </c>
    </row>
    <row r="86" spans="2:4" x14ac:dyDescent="0.4">
      <c r="B86" s="1">
        <v>30</v>
      </c>
      <c r="C86">
        <f t="shared" si="1"/>
        <v>5.2</v>
      </c>
      <c r="D86" s="44">
        <v>5</v>
      </c>
    </row>
    <row r="87" spans="2:4" x14ac:dyDescent="0.4">
      <c r="B87" s="1">
        <v>31</v>
      </c>
      <c r="C87">
        <f t="shared" si="1"/>
        <v>9</v>
      </c>
      <c r="D87" s="44">
        <v>18</v>
      </c>
    </row>
    <row r="88" spans="2:4" x14ac:dyDescent="0.4">
      <c r="B88" s="1">
        <v>32</v>
      </c>
      <c r="C88">
        <f t="shared" si="1"/>
        <v>12.5</v>
      </c>
      <c r="D88" s="44">
        <v>18</v>
      </c>
    </row>
    <row r="89" spans="2:4" x14ac:dyDescent="0.4">
      <c r="B89" s="1">
        <v>33</v>
      </c>
      <c r="C89">
        <f t="shared" si="1"/>
        <v>17.3</v>
      </c>
      <c r="D89" s="44">
        <v>38</v>
      </c>
    </row>
    <row r="90" spans="2:4" x14ac:dyDescent="0.4">
      <c r="B90" s="1">
        <v>34</v>
      </c>
      <c r="C90">
        <f t="shared" si="1"/>
        <v>18.3</v>
      </c>
      <c r="D90" s="44">
        <v>33</v>
      </c>
    </row>
    <row r="91" spans="2:4" x14ac:dyDescent="0.4">
      <c r="B91" s="1">
        <v>35</v>
      </c>
      <c r="C91">
        <f t="shared" si="1"/>
        <v>23</v>
      </c>
      <c r="D91" s="44">
        <v>53</v>
      </c>
    </row>
    <row r="92" spans="2:4" x14ac:dyDescent="0.4">
      <c r="B92" s="1">
        <v>36</v>
      </c>
      <c r="C92">
        <f t="shared" si="1"/>
        <v>19</v>
      </c>
      <c r="D92" s="44">
        <v>53</v>
      </c>
    </row>
    <row r="93" spans="2:4" x14ac:dyDescent="0.4">
      <c r="B93" s="1">
        <v>37</v>
      </c>
      <c r="C93">
        <f t="shared" si="1"/>
        <v>27.6</v>
      </c>
      <c r="D93" s="44">
        <v>71</v>
      </c>
    </row>
    <row r="94" spans="2:4" x14ac:dyDescent="0.4">
      <c r="B94" s="1">
        <v>38</v>
      </c>
      <c r="C94">
        <f t="shared" si="1"/>
        <v>27.1</v>
      </c>
      <c r="D94" s="44">
        <v>64</v>
      </c>
    </row>
    <row r="95" spans="2:4" x14ac:dyDescent="0.4">
      <c r="B95" s="1">
        <v>39</v>
      </c>
      <c r="C95">
        <f t="shared" si="1"/>
        <v>30.2</v>
      </c>
      <c r="D95" s="44">
        <v>56</v>
      </c>
    </row>
    <row r="96" spans="2:4" x14ac:dyDescent="0.4">
      <c r="B96" s="1">
        <v>40</v>
      </c>
      <c r="C96">
        <f t="shared" si="1"/>
        <v>26.2</v>
      </c>
      <c r="D96" s="44">
        <v>55</v>
      </c>
    </row>
    <row r="97" spans="2:4" x14ac:dyDescent="0.4">
      <c r="B97" s="1">
        <v>41</v>
      </c>
      <c r="C97">
        <f t="shared" si="1"/>
        <v>21.1</v>
      </c>
      <c r="D97" s="44">
        <v>74</v>
      </c>
    </row>
    <row r="98" spans="2:4" x14ac:dyDescent="0.4">
      <c r="B98" s="1">
        <v>42</v>
      </c>
      <c r="C98">
        <f t="shared" si="1"/>
        <v>19</v>
      </c>
      <c r="D98" s="44">
        <v>46</v>
      </c>
    </row>
    <row r="99" spans="2:4" x14ac:dyDescent="0.4">
      <c r="B99" s="1">
        <v>43</v>
      </c>
      <c r="C99">
        <f t="shared" si="1"/>
        <v>18.8</v>
      </c>
      <c r="D99" s="44">
        <v>45</v>
      </c>
    </row>
    <row r="100" spans="2:4" x14ac:dyDescent="0.4">
      <c r="B100" s="1">
        <v>44</v>
      </c>
      <c r="C100">
        <f t="shared" si="1"/>
        <v>13.7</v>
      </c>
      <c r="D100" s="44">
        <v>52</v>
      </c>
    </row>
    <row r="101" spans="2:4" x14ac:dyDescent="0.4">
      <c r="B101" s="1">
        <v>45</v>
      </c>
      <c r="C101">
        <f t="shared" si="1"/>
        <v>12.1</v>
      </c>
      <c r="D101" s="44">
        <v>28</v>
      </c>
    </row>
    <row r="102" spans="2:4" x14ac:dyDescent="0.4">
      <c r="B102" s="1">
        <v>46</v>
      </c>
      <c r="C102">
        <f t="shared" si="1"/>
        <v>8.8000000000000007</v>
      </c>
      <c r="D102" s="44">
        <v>16</v>
      </c>
    </row>
    <row r="103" spans="2:4" x14ac:dyDescent="0.4">
      <c r="B103" s="1">
        <v>47</v>
      </c>
      <c r="C103">
        <f t="shared" si="1"/>
        <v>3.8</v>
      </c>
      <c r="D103" s="44">
        <v>9</v>
      </c>
    </row>
    <row r="104" spans="2:4" x14ac:dyDescent="0.4">
      <c r="B104" s="1">
        <v>48</v>
      </c>
      <c r="C104">
        <f t="shared" si="1"/>
        <v>6.3</v>
      </c>
      <c r="D104" s="44">
        <v>7</v>
      </c>
    </row>
    <row r="105" spans="2:4" x14ac:dyDescent="0.4">
      <c r="B105" s="1">
        <v>49</v>
      </c>
      <c r="C105">
        <f t="shared" si="1"/>
        <v>5.7</v>
      </c>
      <c r="D105" s="44">
        <v>22</v>
      </c>
    </row>
    <row r="106" spans="2:4" x14ac:dyDescent="0.4">
      <c r="B106" s="1">
        <v>50</v>
      </c>
      <c r="C106">
        <f t="shared" si="1"/>
        <v>4.5999999999999996</v>
      </c>
      <c r="D106" s="44">
        <v>4</v>
      </c>
    </row>
    <row r="107" spans="2:4" x14ac:dyDescent="0.4">
      <c r="B107" s="1">
        <v>51</v>
      </c>
      <c r="C107">
        <f t="shared" si="1"/>
        <v>3.1</v>
      </c>
      <c r="D107" s="44">
        <v>2</v>
      </c>
    </row>
    <row r="108" spans="2:4" x14ac:dyDescent="0.4">
      <c r="B108" s="1">
        <v>52</v>
      </c>
      <c r="C108">
        <f t="shared" si="1"/>
        <v>7</v>
      </c>
      <c r="D108" s="44">
        <v>19</v>
      </c>
    </row>
    <row r="109" spans="2:4" x14ac:dyDescent="0.4">
      <c r="B109" s="1">
        <v>53</v>
      </c>
      <c r="C109">
        <f t="shared" si="1"/>
        <v>4.0999999999999996</v>
      </c>
      <c r="D109" s="44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BFBE2-A811-4310-8889-661CFBD6ADF4}">
  <dimension ref="A1:R109"/>
  <sheetViews>
    <sheetView workbookViewId="0">
      <selection activeCell="P1" sqref="P1:R19"/>
    </sheetView>
  </sheetViews>
  <sheetFormatPr defaultRowHeight="16" x14ac:dyDescent="0.4"/>
  <cols>
    <col min="12" max="12" width="21" customWidth="1"/>
    <col min="16" max="16" width="16.5" customWidth="1"/>
    <col min="17" max="17" width="24.4140625" customWidth="1"/>
  </cols>
  <sheetData>
    <row r="1" spans="1:18" x14ac:dyDescent="0.4">
      <c r="A1" s="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2016</v>
      </c>
      <c r="L1" s="44" t="s">
        <v>1</v>
      </c>
      <c r="M1" s="44">
        <v>2015</v>
      </c>
      <c r="P1" t="s">
        <v>65</v>
      </c>
    </row>
    <row r="2" spans="1:18" ht="16.5" thickBot="1" x14ac:dyDescent="0.45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44">
        <f>(SUM(B2:K2)/10)</f>
        <v>0</v>
      </c>
      <c r="M2" s="44">
        <v>0</v>
      </c>
    </row>
    <row r="3" spans="1:18" x14ac:dyDescent="0.4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s="44">
        <f t="shared" ref="L3:L54" si="0">(SUM(B3:K3)/10)</f>
        <v>0</v>
      </c>
      <c r="M3" s="44">
        <v>0</v>
      </c>
      <c r="P3" s="6"/>
      <c r="Q3" s="6" t="s">
        <v>1</v>
      </c>
      <c r="R3" s="6">
        <v>2015</v>
      </c>
    </row>
    <row r="4" spans="1:18" x14ac:dyDescent="0.4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44">
        <f t="shared" si="0"/>
        <v>0</v>
      </c>
      <c r="M4" s="44">
        <v>0</v>
      </c>
      <c r="P4" s="4" t="s">
        <v>17</v>
      </c>
      <c r="Q4" s="4">
        <v>6.6169811320754715</v>
      </c>
      <c r="R4" s="4">
        <v>14.754716981132075</v>
      </c>
    </row>
    <row r="5" spans="1:18" x14ac:dyDescent="0.4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44">
        <f t="shared" si="0"/>
        <v>0</v>
      </c>
      <c r="M5" s="44">
        <v>0</v>
      </c>
      <c r="P5" s="4" t="s">
        <v>34</v>
      </c>
      <c r="Q5" s="4">
        <v>92.771052249637165</v>
      </c>
      <c r="R5" s="4">
        <v>406.07329462989844</v>
      </c>
    </row>
    <row r="6" spans="1:18" x14ac:dyDescent="0.4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44">
        <f t="shared" si="0"/>
        <v>0</v>
      </c>
      <c r="M6" s="44">
        <v>0</v>
      </c>
      <c r="P6" s="4" t="s">
        <v>55</v>
      </c>
      <c r="Q6" s="4">
        <v>53</v>
      </c>
      <c r="R6" s="4">
        <v>53</v>
      </c>
    </row>
    <row r="7" spans="1:18" x14ac:dyDescent="0.4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44">
        <f t="shared" si="0"/>
        <v>0</v>
      </c>
      <c r="M7" s="44">
        <v>0</v>
      </c>
      <c r="P7" s="4" t="s">
        <v>62</v>
      </c>
      <c r="Q7" s="4">
        <v>0.81464194798861811</v>
      </c>
      <c r="R7" s="4"/>
    </row>
    <row r="8" spans="1:18" x14ac:dyDescent="0.4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44">
        <f t="shared" si="0"/>
        <v>0</v>
      </c>
      <c r="M8" s="44">
        <v>0</v>
      </c>
      <c r="P8" s="4" t="s">
        <v>56</v>
      </c>
      <c r="Q8" s="4">
        <v>0</v>
      </c>
      <c r="R8" s="4"/>
    </row>
    <row r="9" spans="1:18" x14ac:dyDescent="0.4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s="44">
        <f t="shared" si="0"/>
        <v>0</v>
      </c>
      <c r="M9" s="44">
        <v>0</v>
      </c>
      <c r="P9" s="4" t="s">
        <v>38</v>
      </c>
      <c r="Q9" s="4">
        <v>52</v>
      </c>
      <c r="R9" s="4"/>
    </row>
    <row r="10" spans="1:18" x14ac:dyDescent="0.4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 s="44">
        <f t="shared" si="0"/>
        <v>0.1</v>
      </c>
      <c r="M10" s="44">
        <v>0</v>
      </c>
      <c r="P10" s="29" t="s">
        <v>57</v>
      </c>
      <c r="Q10" s="29">
        <v>-4.3840544562891166</v>
      </c>
      <c r="R10" s="4"/>
    </row>
    <row r="11" spans="1:18" x14ac:dyDescent="0.4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s="44">
        <f t="shared" si="0"/>
        <v>0</v>
      </c>
      <c r="M11" s="44">
        <v>0</v>
      </c>
      <c r="P11" s="4" t="s">
        <v>58</v>
      </c>
      <c r="Q11" s="4">
        <v>2.8450094251555606E-5</v>
      </c>
      <c r="R11" s="4"/>
    </row>
    <row r="12" spans="1:18" x14ac:dyDescent="0.4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44">
        <f t="shared" si="0"/>
        <v>0</v>
      </c>
      <c r="M12" s="44">
        <v>0</v>
      </c>
      <c r="P12" s="4" t="s">
        <v>59</v>
      </c>
      <c r="Q12" s="4">
        <v>1.6746891537260258</v>
      </c>
      <c r="R12" s="4"/>
    </row>
    <row r="13" spans="1:18" x14ac:dyDescent="0.4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44">
        <f t="shared" si="0"/>
        <v>0</v>
      </c>
      <c r="M13" s="44">
        <v>0</v>
      </c>
      <c r="P13" s="4" t="s">
        <v>60</v>
      </c>
      <c r="Q13" s="4">
        <v>5.6900188503111213E-5</v>
      </c>
      <c r="R13" s="4"/>
    </row>
    <row r="14" spans="1:18" ht="16.5" thickBot="1" x14ac:dyDescent="0.45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44">
        <f t="shared" si="0"/>
        <v>0</v>
      </c>
      <c r="M14" s="44">
        <v>0</v>
      </c>
      <c r="P14" s="30" t="s">
        <v>61</v>
      </c>
      <c r="Q14" s="30">
        <v>2.0066468050616861</v>
      </c>
      <c r="R14" s="5"/>
    </row>
    <row r="15" spans="1:18" x14ac:dyDescent="0.4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s="44">
        <f t="shared" si="0"/>
        <v>0</v>
      </c>
      <c r="M15" s="44">
        <v>0</v>
      </c>
    </row>
    <row r="16" spans="1:18" x14ac:dyDescent="0.4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44">
        <f t="shared" si="0"/>
        <v>0</v>
      </c>
      <c r="M16" s="44">
        <v>0</v>
      </c>
      <c r="P16" t="s">
        <v>46</v>
      </c>
      <c r="Q16" t="s">
        <v>68</v>
      </c>
    </row>
    <row r="17" spans="1:17" x14ac:dyDescent="0.4">
      <c r="A17" s="1">
        <v>16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44">
        <f t="shared" si="0"/>
        <v>0.1</v>
      </c>
      <c r="M17" s="44">
        <v>0</v>
      </c>
      <c r="P17" t="s">
        <v>47</v>
      </c>
      <c r="Q17" t="s">
        <v>67</v>
      </c>
    </row>
    <row r="18" spans="1:17" x14ac:dyDescent="0.4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s="44">
        <f t="shared" si="0"/>
        <v>0</v>
      </c>
      <c r="M18" s="44">
        <v>0</v>
      </c>
    </row>
    <row r="19" spans="1:17" x14ac:dyDescent="0.4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44">
        <f t="shared" si="0"/>
        <v>0</v>
      </c>
      <c r="M19" s="44">
        <v>0</v>
      </c>
      <c r="P19" t="s">
        <v>70</v>
      </c>
      <c r="Q19" t="s">
        <v>71</v>
      </c>
    </row>
    <row r="20" spans="1:17" x14ac:dyDescent="0.4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44">
        <f t="shared" si="0"/>
        <v>0</v>
      </c>
      <c r="M20" s="44">
        <v>0</v>
      </c>
    </row>
    <row r="21" spans="1:17" x14ac:dyDescent="0.4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44">
        <f t="shared" si="0"/>
        <v>0</v>
      </c>
      <c r="M21" s="44">
        <v>0</v>
      </c>
    </row>
    <row r="22" spans="1:17" x14ac:dyDescent="0.4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44">
        <f t="shared" si="0"/>
        <v>0</v>
      </c>
      <c r="M22" s="44">
        <v>0</v>
      </c>
    </row>
    <row r="23" spans="1:17" x14ac:dyDescent="0.4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44">
        <f t="shared" si="0"/>
        <v>0</v>
      </c>
      <c r="M23" s="44">
        <v>0</v>
      </c>
    </row>
    <row r="24" spans="1:17" x14ac:dyDescent="0.4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s="44">
        <f t="shared" si="0"/>
        <v>0</v>
      </c>
      <c r="M24" s="44">
        <v>0</v>
      </c>
    </row>
    <row r="25" spans="1:17" x14ac:dyDescent="0.4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44">
        <f t="shared" si="0"/>
        <v>0</v>
      </c>
      <c r="M25" s="44">
        <v>0</v>
      </c>
    </row>
    <row r="26" spans="1:17" x14ac:dyDescent="0.4">
      <c r="A26" s="1">
        <v>25</v>
      </c>
      <c r="B26">
        <v>1</v>
      </c>
      <c r="C26">
        <v>1</v>
      </c>
      <c r="D26">
        <v>1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 s="44">
        <f t="shared" si="0"/>
        <v>0.5</v>
      </c>
      <c r="M26" s="44">
        <v>0</v>
      </c>
    </row>
    <row r="27" spans="1:17" x14ac:dyDescent="0.4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 s="44">
        <f t="shared" si="0"/>
        <v>0.1</v>
      </c>
      <c r="M27" s="44">
        <v>0</v>
      </c>
    </row>
    <row r="28" spans="1:17" x14ac:dyDescent="0.4">
      <c r="A28" s="1">
        <v>27</v>
      </c>
      <c r="B28">
        <v>0</v>
      </c>
      <c r="C28">
        <v>2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3</v>
      </c>
      <c r="K28">
        <v>0</v>
      </c>
      <c r="L28" s="44">
        <f t="shared" si="0"/>
        <v>0.7</v>
      </c>
      <c r="M28" s="44">
        <v>0</v>
      </c>
    </row>
    <row r="29" spans="1:17" x14ac:dyDescent="0.4">
      <c r="A29" s="1">
        <v>28</v>
      </c>
      <c r="B29">
        <v>0</v>
      </c>
      <c r="C29">
        <v>6</v>
      </c>
      <c r="D29">
        <v>0</v>
      </c>
      <c r="E29">
        <v>0</v>
      </c>
      <c r="F29">
        <v>2</v>
      </c>
      <c r="G29">
        <v>0</v>
      </c>
      <c r="H29">
        <v>2</v>
      </c>
      <c r="I29">
        <v>0</v>
      </c>
      <c r="J29">
        <v>5</v>
      </c>
      <c r="K29">
        <v>0</v>
      </c>
      <c r="L29" s="44">
        <f t="shared" si="0"/>
        <v>1.5</v>
      </c>
      <c r="M29" s="44">
        <v>0</v>
      </c>
    </row>
    <row r="30" spans="1:17" x14ac:dyDescent="0.4">
      <c r="A30" s="1">
        <v>29</v>
      </c>
      <c r="B30">
        <v>4</v>
      </c>
      <c r="C30">
        <v>18</v>
      </c>
      <c r="D30">
        <v>3</v>
      </c>
      <c r="E30">
        <v>1</v>
      </c>
      <c r="F30">
        <v>2</v>
      </c>
      <c r="G30">
        <v>1</v>
      </c>
      <c r="H30">
        <v>3</v>
      </c>
      <c r="I30">
        <v>0</v>
      </c>
      <c r="J30">
        <v>3</v>
      </c>
      <c r="K30">
        <v>0</v>
      </c>
      <c r="L30" s="44">
        <f t="shared" si="0"/>
        <v>3.5</v>
      </c>
      <c r="M30" s="44">
        <v>1</v>
      </c>
    </row>
    <row r="31" spans="1:17" x14ac:dyDescent="0.4">
      <c r="A31" s="1">
        <v>30</v>
      </c>
      <c r="B31">
        <v>11</v>
      </c>
      <c r="C31">
        <v>15</v>
      </c>
      <c r="D31">
        <v>6</v>
      </c>
      <c r="E31">
        <v>1</v>
      </c>
      <c r="F31">
        <v>3</v>
      </c>
      <c r="G31">
        <v>0</v>
      </c>
      <c r="H31">
        <v>1</v>
      </c>
      <c r="I31">
        <v>3</v>
      </c>
      <c r="J31">
        <v>5</v>
      </c>
      <c r="K31">
        <v>3</v>
      </c>
      <c r="L31" s="44">
        <f t="shared" si="0"/>
        <v>4.8</v>
      </c>
      <c r="M31" s="44">
        <v>9</v>
      </c>
    </row>
    <row r="32" spans="1:17" x14ac:dyDescent="0.4">
      <c r="A32" s="1">
        <v>31</v>
      </c>
      <c r="B32">
        <v>4</v>
      </c>
      <c r="C32">
        <v>22</v>
      </c>
      <c r="D32">
        <v>16</v>
      </c>
      <c r="E32">
        <v>3</v>
      </c>
      <c r="F32">
        <v>6</v>
      </c>
      <c r="G32">
        <v>6</v>
      </c>
      <c r="H32">
        <v>4</v>
      </c>
      <c r="I32">
        <v>10</v>
      </c>
      <c r="J32">
        <v>18</v>
      </c>
      <c r="K32">
        <v>7</v>
      </c>
      <c r="L32" s="44">
        <f t="shared" si="0"/>
        <v>9.6</v>
      </c>
      <c r="M32" s="44">
        <v>12</v>
      </c>
    </row>
    <row r="33" spans="1:13" x14ac:dyDescent="0.4">
      <c r="A33" s="1">
        <v>32</v>
      </c>
      <c r="B33">
        <v>18</v>
      </c>
      <c r="C33">
        <v>22</v>
      </c>
      <c r="D33">
        <v>26</v>
      </c>
      <c r="E33">
        <v>5</v>
      </c>
      <c r="F33">
        <v>4</v>
      </c>
      <c r="G33">
        <v>3</v>
      </c>
      <c r="H33">
        <v>7</v>
      </c>
      <c r="I33">
        <v>4</v>
      </c>
      <c r="J33">
        <v>18</v>
      </c>
      <c r="K33">
        <v>12</v>
      </c>
      <c r="L33" s="44">
        <f t="shared" si="0"/>
        <v>11.9</v>
      </c>
      <c r="M33" s="44">
        <v>24</v>
      </c>
    </row>
    <row r="34" spans="1:13" x14ac:dyDescent="0.4">
      <c r="A34" s="1">
        <v>33</v>
      </c>
      <c r="B34">
        <v>30</v>
      </c>
      <c r="C34">
        <v>34</v>
      </c>
      <c r="D34">
        <v>19</v>
      </c>
      <c r="E34">
        <v>0</v>
      </c>
      <c r="F34">
        <v>6</v>
      </c>
      <c r="G34">
        <v>2</v>
      </c>
      <c r="H34">
        <v>8</v>
      </c>
      <c r="I34">
        <v>19</v>
      </c>
      <c r="J34">
        <v>38</v>
      </c>
      <c r="K34">
        <v>24</v>
      </c>
      <c r="L34" s="44">
        <f t="shared" si="0"/>
        <v>18</v>
      </c>
      <c r="M34" s="44">
        <v>31</v>
      </c>
    </row>
    <row r="35" spans="1:13" x14ac:dyDescent="0.4">
      <c r="A35" s="1">
        <v>34</v>
      </c>
      <c r="B35">
        <v>28</v>
      </c>
      <c r="C35">
        <v>27</v>
      </c>
      <c r="D35">
        <v>19</v>
      </c>
      <c r="E35">
        <v>9</v>
      </c>
      <c r="F35">
        <v>5</v>
      </c>
      <c r="G35">
        <v>7</v>
      </c>
      <c r="H35">
        <v>15</v>
      </c>
      <c r="I35">
        <v>22</v>
      </c>
      <c r="J35">
        <v>33</v>
      </c>
      <c r="K35">
        <v>31</v>
      </c>
      <c r="L35" s="44">
        <f t="shared" si="0"/>
        <v>19.600000000000001</v>
      </c>
      <c r="M35" s="44">
        <v>20</v>
      </c>
    </row>
    <row r="36" spans="1:13" x14ac:dyDescent="0.4">
      <c r="A36" s="1">
        <v>35</v>
      </c>
      <c r="B36">
        <v>42</v>
      </c>
      <c r="C36">
        <v>25</v>
      </c>
      <c r="D36">
        <v>34</v>
      </c>
      <c r="E36">
        <v>7</v>
      </c>
      <c r="F36">
        <v>7</v>
      </c>
      <c r="G36">
        <v>8</v>
      </c>
      <c r="H36">
        <v>15</v>
      </c>
      <c r="I36">
        <v>27</v>
      </c>
      <c r="J36">
        <v>53</v>
      </c>
      <c r="K36">
        <v>46</v>
      </c>
      <c r="L36" s="44">
        <f t="shared" si="0"/>
        <v>26.4</v>
      </c>
      <c r="M36" s="44">
        <v>19</v>
      </c>
    </row>
    <row r="37" spans="1:13" x14ac:dyDescent="0.4">
      <c r="A37" s="1">
        <v>36</v>
      </c>
      <c r="B37">
        <v>20</v>
      </c>
      <c r="C37">
        <v>26</v>
      </c>
      <c r="D37">
        <v>30</v>
      </c>
      <c r="E37">
        <v>8</v>
      </c>
      <c r="F37">
        <v>3</v>
      </c>
      <c r="G37">
        <v>6</v>
      </c>
      <c r="H37">
        <v>19</v>
      </c>
      <c r="I37">
        <v>15</v>
      </c>
      <c r="J37">
        <v>53</v>
      </c>
      <c r="K37">
        <v>32</v>
      </c>
      <c r="L37" s="44">
        <f t="shared" si="0"/>
        <v>21.2</v>
      </c>
      <c r="M37" s="44">
        <v>31</v>
      </c>
    </row>
    <row r="38" spans="1:13" x14ac:dyDescent="0.4">
      <c r="A38" s="1">
        <v>37</v>
      </c>
      <c r="B38">
        <v>38</v>
      </c>
      <c r="C38">
        <v>33</v>
      </c>
      <c r="D38">
        <v>37</v>
      </c>
      <c r="E38">
        <v>13</v>
      </c>
      <c r="F38">
        <v>7</v>
      </c>
      <c r="G38">
        <v>15</v>
      </c>
      <c r="H38">
        <v>39</v>
      </c>
      <c r="I38">
        <v>16</v>
      </c>
      <c r="J38">
        <v>71</v>
      </c>
      <c r="K38">
        <v>44</v>
      </c>
      <c r="L38" s="44">
        <f t="shared" si="0"/>
        <v>31.3</v>
      </c>
      <c r="M38" s="44">
        <v>34</v>
      </c>
    </row>
    <row r="39" spans="1:13" x14ac:dyDescent="0.4">
      <c r="A39" s="1">
        <v>38</v>
      </c>
      <c r="B39">
        <v>18</v>
      </c>
      <c r="C39">
        <v>25</v>
      </c>
      <c r="D39">
        <v>38</v>
      </c>
      <c r="E39">
        <v>12</v>
      </c>
      <c r="F39">
        <v>7</v>
      </c>
      <c r="G39">
        <v>19</v>
      </c>
      <c r="H39">
        <v>32</v>
      </c>
      <c r="I39">
        <v>33</v>
      </c>
      <c r="J39">
        <v>64</v>
      </c>
      <c r="K39">
        <v>35</v>
      </c>
      <c r="L39" s="44">
        <f t="shared" si="0"/>
        <v>28.3</v>
      </c>
      <c r="M39" s="44">
        <v>52</v>
      </c>
    </row>
    <row r="40" spans="1:13" x14ac:dyDescent="0.4">
      <c r="A40" s="1">
        <v>39</v>
      </c>
      <c r="B40">
        <v>22</v>
      </c>
      <c r="C40">
        <v>34</v>
      </c>
      <c r="D40">
        <v>38</v>
      </c>
      <c r="E40">
        <v>9</v>
      </c>
      <c r="F40">
        <v>10</v>
      </c>
      <c r="G40">
        <v>20</v>
      </c>
      <c r="H40">
        <v>34</v>
      </c>
      <c r="I40">
        <v>26</v>
      </c>
      <c r="J40">
        <v>56</v>
      </c>
      <c r="K40">
        <v>42</v>
      </c>
      <c r="L40" s="44">
        <f t="shared" si="0"/>
        <v>29.1</v>
      </c>
      <c r="M40" s="44">
        <v>67</v>
      </c>
    </row>
    <row r="41" spans="1:13" x14ac:dyDescent="0.4">
      <c r="A41" s="1">
        <v>40</v>
      </c>
      <c r="B41">
        <v>5</v>
      </c>
      <c r="C41">
        <v>32</v>
      </c>
      <c r="D41">
        <v>23</v>
      </c>
      <c r="E41">
        <v>9</v>
      </c>
      <c r="F41">
        <v>5</v>
      </c>
      <c r="G41">
        <v>17</v>
      </c>
      <c r="H41">
        <v>48</v>
      </c>
      <c r="I41">
        <v>29</v>
      </c>
      <c r="J41">
        <v>55</v>
      </c>
      <c r="K41">
        <v>34</v>
      </c>
      <c r="L41" s="44">
        <f t="shared" si="0"/>
        <v>25.7</v>
      </c>
      <c r="M41" s="44">
        <v>60</v>
      </c>
    </row>
    <row r="42" spans="1:13" x14ac:dyDescent="0.4">
      <c r="A42" s="1">
        <v>41</v>
      </c>
      <c r="B42">
        <v>11</v>
      </c>
      <c r="C42">
        <v>21</v>
      </c>
      <c r="D42">
        <v>34</v>
      </c>
      <c r="E42">
        <v>6</v>
      </c>
      <c r="F42">
        <v>2</v>
      </c>
      <c r="G42">
        <v>9</v>
      </c>
      <c r="H42">
        <v>35</v>
      </c>
      <c r="I42">
        <v>31</v>
      </c>
      <c r="J42">
        <v>74</v>
      </c>
      <c r="K42">
        <v>17</v>
      </c>
      <c r="L42" s="44">
        <f t="shared" si="0"/>
        <v>24</v>
      </c>
      <c r="M42" s="44">
        <v>45</v>
      </c>
    </row>
    <row r="43" spans="1:13" x14ac:dyDescent="0.4">
      <c r="A43" s="1">
        <v>42</v>
      </c>
      <c r="B43">
        <v>4</v>
      </c>
      <c r="C43">
        <v>10</v>
      </c>
      <c r="D43">
        <v>2</v>
      </c>
      <c r="E43">
        <v>9</v>
      </c>
      <c r="F43">
        <v>14</v>
      </c>
      <c r="G43">
        <v>9</v>
      </c>
      <c r="H43">
        <v>35</v>
      </c>
      <c r="I43">
        <v>36</v>
      </c>
      <c r="J43">
        <v>46</v>
      </c>
      <c r="K43">
        <v>20</v>
      </c>
      <c r="L43" s="44">
        <f t="shared" si="0"/>
        <v>18.5</v>
      </c>
      <c r="M43" s="44">
        <v>51</v>
      </c>
    </row>
    <row r="44" spans="1:13" x14ac:dyDescent="0.4">
      <c r="A44" s="1">
        <v>43</v>
      </c>
      <c r="B44">
        <v>6</v>
      </c>
      <c r="C44">
        <v>7</v>
      </c>
      <c r="D44">
        <v>14</v>
      </c>
      <c r="E44">
        <v>5</v>
      </c>
      <c r="F44">
        <v>11</v>
      </c>
      <c r="G44">
        <v>7</v>
      </c>
      <c r="H44">
        <v>38</v>
      </c>
      <c r="I44">
        <v>25</v>
      </c>
      <c r="J44">
        <v>45</v>
      </c>
      <c r="K44">
        <v>23</v>
      </c>
      <c r="L44" s="44">
        <f t="shared" si="0"/>
        <v>18.100000000000001</v>
      </c>
      <c r="M44" s="44">
        <v>52</v>
      </c>
    </row>
    <row r="45" spans="1:13" x14ac:dyDescent="0.4">
      <c r="A45" s="1">
        <v>44</v>
      </c>
      <c r="B45">
        <v>3</v>
      </c>
      <c r="C45">
        <v>7</v>
      </c>
      <c r="D45">
        <v>10</v>
      </c>
      <c r="E45">
        <v>3</v>
      </c>
      <c r="F45">
        <v>3</v>
      </c>
      <c r="G45">
        <v>11</v>
      </c>
      <c r="H45">
        <v>38</v>
      </c>
      <c r="I45">
        <v>22</v>
      </c>
      <c r="J45">
        <v>52</v>
      </c>
      <c r="K45">
        <v>0</v>
      </c>
      <c r="L45" s="44">
        <f t="shared" si="0"/>
        <v>14.9</v>
      </c>
      <c r="M45" s="44">
        <v>40</v>
      </c>
    </row>
    <row r="46" spans="1:13" x14ac:dyDescent="0.4">
      <c r="A46" s="1">
        <v>45</v>
      </c>
      <c r="B46">
        <v>3</v>
      </c>
      <c r="C46">
        <v>4</v>
      </c>
      <c r="D46">
        <v>25</v>
      </c>
      <c r="E46">
        <v>2</v>
      </c>
      <c r="F46">
        <v>1</v>
      </c>
      <c r="G46">
        <v>5</v>
      </c>
      <c r="H46">
        <v>22</v>
      </c>
      <c r="I46">
        <v>20</v>
      </c>
      <c r="J46">
        <v>28</v>
      </c>
      <c r="K46">
        <v>0</v>
      </c>
      <c r="L46" s="44">
        <f t="shared" si="0"/>
        <v>11</v>
      </c>
      <c r="M46" s="44">
        <v>39</v>
      </c>
    </row>
    <row r="47" spans="1:13" x14ac:dyDescent="0.4">
      <c r="A47" s="1">
        <v>46</v>
      </c>
      <c r="B47">
        <v>3</v>
      </c>
      <c r="C47">
        <v>3</v>
      </c>
      <c r="D47">
        <v>12</v>
      </c>
      <c r="E47">
        <v>1</v>
      </c>
      <c r="F47">
        <v>0</v>
      </c>
      <c r="G47">
        <v>5</v>
      </c>
      <c r="H47">
        <v>18</v>
      </c>
      <c r="I47">
        <v>10</v>
      </c>
      <c r="J47">
        <v>16</v>
      </c>
      <c r="K47">
        <v>0</v>
      </c>
      <c r="L47" s="44">
        <f t="shared" si="0"/>
        <v>6.8</v>
      </c>
      <c r="M47" s="44">
        <v>36</v>
      </c>
    </row>
    <row r="48" spans="1:13" x14ac:dyDescent="0.4">
      <c r="A48" s="1">
        <v>47</v>
      </c>
      <c r="B48">
        <v>0</v>
      </c>
      <c r="C48">
        <v>0</v>
      </c>
      <c r="D48">
        <v>7</v>
      </c>
      <c r="E48">
        <v>0</v>
      </c>
      <c r="F48">
        <v>2</v>
      </c>
      <c r="G48">
        <v>1</v>
      </c>
      <c r="H48">
        <v>7</v>
      </c>
      <c r="I48">
        <v>7</v>
      </c>
      <c r="J48">
        <v>9</v>
      </c>
      <c r="K48">
        <v>0</v>
      </c>
      <c r="L48" s="44">
        <f t="shared" si="0"/>
        <v>3.3</v>
      </c>
      <c r="M48" s="44">
        <v>14</v>
      </c>
    </row>
    <row r="49" spans="1:13" x14ac:dyDescent="0.4">
      <c r="A49" s="1">
        <v>48</v>
      </c>
      <c r="B49">
        <v>1</v>
      </c>
      <c r="C49">
        <v>2</v>
      </c>
      <c r="D49">
        <v>1</v>
      </c>
      <c r="E49">
        <v>1</v>
      </c>
      <c r="F49">
        <v>3</v>
      </c>
      <c r="G49">
        <v>3</v>
      </c>
      <c r="H49">
        <v>10</v>
      </c>
      <c r="I49">
        <v>4</v>
      </c>
      <c r="J49">
        <v>7</v>
      </c>
      <c r="K49">
        <v>0</v>
      </c>
      <c r="L49" s="44">
        <f t="shared" si="0"/>
        <v>3.2</v>
      </c>
      <c r="M49" s="44">
        <v>38</v>
      </c>
    </row>
    <row r="50" spans="1:13" x14ac:dyDescent="0.4">
      <c r="A50" s="1">
        <v>49</v>
      </c>
      <c r="B50">
        <v>0</v>
      </c>
      <c r="C50">
        <v>2</v>
      </c>
      <c r="D50">
        <v>10</v>
      </c>
      <c r="E50">
        <v>1</v>
      </c>
      <c r="F50">
        <v>2</v>
      </c>
      <c r="G50">
        <v>0</v>
      </c>
      <c r="H50">
        <v>12</v>
      </c>
      <c r="I50">
        <v>3</v>
      </c>
      <c r="J50">
        <v>22</v>
      </c>
      <c r="K50">
        <v>0</v>
      </c>
      <c r="L50" s="44">
        <f t="shared" si="0"/>
        <v>5.2</v>
      </c>
      <c r="M50" s="44">
        <v>27</v>
      </c>
    </row>
    <row r="51" spans="1:13" x14ac:dyDescent="0.4">
      <c r="A51" s="1">
        <v>50</v>
      </c>
      <c r="B51">
        <v>0</v>
      </c>
      <c r="C51">
        <v>1</v>
      </c>
      <c r="D51">
        <v>4</v>
      </c>
      <c r="E51">
        <v>1</v>
      </c>
      <c r="F51">
        <v>0</v>
      </c>
      <c r="G51">
        <v>1</v>
      </c>
      <c r="H51">
        <v>8</v>
      </c>
      <c r="I51">
        <v>3</v>
      </c>
      <c r="J51">
        <v>4</v>
      </c>
      <c r="K51">
        <v>0</v>
      </c>
      <c r="L51" s="44">
        <f t="shared" si="0"/>
        <v>2.2000000000000002</v>
      </c>
      <c r="M51" s="44">
        <v>28</v>
      </c>
    </row>
    <row r="52" spans="1:13" x14ac:dyDescent="0.4">
      <c r="A52" s="1">
        <v>51</v>
      </c>
      <c r="B52">
        <v>0</v>
      </c>
      <c r="C52">
        <v>0</v>
      </c>
      <c r="D52">
        <v>5</v>
      </c>
      <c r="E52">
        <v>1</v>
      </c>
      <c r="F52">
        <v>0</v>
      </c>
      <c r="G52">
        <v>0</v>
      </c>
      <c r="H52">
        <v>12</v>
      </c>
      <c r="I52">
        <v>9</v>
      </c>
      <c r="J52">
        <v>2</v>
      </c>
      <c r="K52">
        <v>0</v>
      </c>
      <c r="L52" s="44">
        <f t="shared" si="0"/>
        <v>2.9</v>
      </c>
      <c r="M52" s="44">
        <v>4</v>
      </c>
    </row>
    <row r="53" spans="1:13" x14ac:dyDescent="0.4">
      <c r="A53" s="1">
        <v>52</v>
      </c>
      <c r="B53">
        <v>0</v>
      </c>
      <c r="C53">
        <v>0</v>
      </c>
      <c r="D53">
        <v>0</v>
      </c>
      <c r="E53">
        <v>5</v>
      </c>
      <c r="F53">
        <v>1</v>
      </c>
      <c r="G53">
        <v>3</v>
      </c>
      <c r="H53">
        <v>13</v>
      </c>
      <c r="I53">
        <v>0</v>
      </c>
      <c r="J53">
        <v>19</v>
      </c>
      <c r="K53">
        <v>0</v>
      </c>
      <c r="L53" s="44">
        <f t="shared" si="0"/>
        <v>4.0999999999999996</v>
      </c>
      <c r="M53" s="44">
        <v>48</v>
      </c>
    </row>
    <row r="54" spans="1:13" x14ac:dyDescent="0.4">
      <c r="A54" s="1">
        <v>53</v>
      </c>
      <c r="B54">
        <v>0</v>
      </c>
      <c r="C54">
        <v>0</v>
      </c>
      <c r="D54">
        <v>29</v>
      </c>
      <c r="E54">
        <v>0</v>
      </c>
      <c r="F54">
        <v>5</v>
      </c>
      <c r="G54">
        <v>0</v>
      </c>
      <c r="H54">
        <v>3</v>
      </c>
      <c r="I54">
        <v>4</v>
      </c>
      <c r="J54">
        <v>0</v>
      </c>
      <c r="K54">
        <v>0</v>
      </c>
      <c r="L54" s="44">
        <f t="shared" si="0"/>
        <v>4.0999999999999996</v>
      </c>
      <c r="M54" s="44">
        <v>0</v>
      </c>
    </row>
    <row r="56" spans="1:13" x14ac:dyDescent="0.4">
      <c r="C56" s="1" t="s">
        <v>0</v>
      </c>
      <c r="D56" s="44" t="s">
        <v>1</v>
      </c>
      <c r="E56" s="44" t="s">
        <v>74</v>
      </c>
    </row>
    <row r="57" spans="1:13" x14ac:dyDescent="0.4">
      <c r="C57" s="1">
        <v>1</v>
      </c>
      <c r="D57">
        <f>(SUM(B2:K2)/10)</f>
        <v>0</v>
      </c>
      <c r="E57" s="44">
        <v>0</v>
      </c>
    </row>
    <row r="58" spans="1:13" x14ac:dyDescent="0.4">
      <c r="C58" s="1">
        <v>2</v>
      </c>
      <c r="D58">
        <f t="shared" ref="D58:D109" si="1">(SUM(B3:K3)/10)</f>
        <v>0</v>
      </c>
      <c r="E58" s="44">
        <v>0</v>
      </c>
    </row>
    <row r="59" spans="1:13" x14ac:dyDescent="0.4">
      <c r="C59" s="1">
        <v>3</v>
      </c>
      <c r="D59">
        <f t="shared" si="1"/>
        <v>0</v>
      </c>
      <c r="E59" s="44">
        <v>0</v>
      </c>
    </row>
    <row r="60" spans="1:13" x14ac:dyDescent="0.4">
      <c r="C60" s="1">
        <v>4</v>
      </c>
      <c r="D60">
        <f t="shared" si="1"/>
        <v>0</v>
      </c>
      <c r="E60" s="44">
        <v>0</v>
      </c>
    </row>
    <row r="61" spans="1:13" x14ac:dyDescent="0.4">
      <c r="C61" s="1">
        <v>5</v>
      </c>
      <c r="D61">
        <f t="shared" si="1"/>
        <v>0</v>
      </c>
      <c r="E61" s="44">
        <v>0</v>
      </c>
    </row>
    <row r="62" spans="1:13" x14ac:dyDescent="0.4">
      <c r="C62" s="1">
        <v>6</v>
      </c>
      <c r="D62">
        <f t="shared" si="1"/>
        <v>0</v>
      </c>
      <c r="E62" s="44">
        <v>0</v>
      </c>
    </row>
    <row r="63" spans="1:13" x14ac:dyDescent="0.4">
      <c r="C63" s="1">
        <v>7</v>
      </c>
      <c r="D63">
        <f t="shared" si="1"/>
        <v>0</v>
      </c>
      <c r="E63" s="44">
        <v>0</v>
      </c>
    </row>
    <row r="64" spans="1:13" x14ac:dyDescent="0.4">
      <c r="C64" s="1">
        <v>8</v>
      </c>
      <c r="D64">
        <f t="shared" si="1"/>
        <v>0</v>
      </c>
      <c r="E64" s="44">
        <v>0</v>
      </c>
    </row>
    <row r="65" spans="3:5" x14ac:dyDescent="0.4">
      <c r="C65" s="1">
        <v>9</v>
      </c>
      <c r="D65">
        <f t="shared" si="1"/>
        <v>0.1</v>
      </c>
      <c r="E65" s="44">
        <v>0</v>
      </c>
    </row>
    <row r="66" spans="3:5" x14ac:dyDescent="0.4">
      <c r="C66" s="1">
        <v>10</v>
      </c>
      <c r="D66">
        <f t="shared" si="1"/>
        <v>0</v>
      </c>
      <c r="E66" s="44">
        <v>0</v>
      </c>
    </row>
    <row r="67" spans="3:5" x14ac:dyDescent="0.4">
      <c r="C67" s="1">
        <v>11</v>
      </c>
      <c r="D67">
        <f t="shared" si="1"/>
        <v>0</v>
      </c>
      <c r="E67" s="44">
        <v>0</v>
      </c>
    </row>
    <row r="68" spans="3:5" x14ac:dyDescent="0.4">
      <c r="C68" s="1">
        <v>12</v>
      </c>
      <c r="D68">
        <f t="shared" si="1"/>
        <v>0</v>
      </c>
      <c r="E68" s="44">
        <v>0</v>
      </c>
    </row>
    <row r="69" spans="3:5" x14ac:dyDescent="0.4">
      <c r="C69" s="1">
        <v>13</v>
      </c>
      <c r="D69">
        <f t="shared" si="1"/>
        <v>0</v>
      </c>
      <c r="E69" s="44">
        <v>0</v>
      </c>
    </row>
    <row r="70" spans="3:5" x14ac:dyDescent="0.4">
      <c r="C70" s="1">
        <v>14</v>
      </c>
      <c r="D70">
        <f t="shared" si="1"/>
        <v>0</v>
      </c>
      <c r="E70" s="44">
        <v>0</v>
      </c>
    </row>
    <row r="71" spans="3:5" x14ac:dyDescent="0.4">
      <c r="C71" s="1">
        <v>15</v>
      </c>
      <c r="D71">
        <f t="shared" si="1"/>
        <v>0</v>
      </c>
      <c r="E71" s="44">
        <v>0</v>
      </c>
    </row>
    <row r="72" spans="3:5" x14ac:dyDescent="0.4">
      <c r="C72" s="1">
        <v>16</v>
      </c>
      <c r="D72">
        <f t="shared" si="1"/>
        <v>0.1</v>
      </c>
      <c r="E72" s="44">
        <v>0</v>
      </c>
    </row>
    <row r="73" spans="3:5" x14ac:dyDescent="0.4">
      <c r="C73" s="1">
        <v>17</v>
      </c>
      <c r="D73">
        <f t="shared" si="1"/>
        <v>0</v>
      </c>
      <c r="E73" s="44">
        <v>0</v>
      </c>
    </row>
    <row r="74" spans="3:5" x14ac:dyDescent="0.4">
      <c r="C74" s="1">
        <v>18</v>
      </c>
      <c r="D74">
        <f t="shared" si="1"/>
        <v>0</v>
      </c>
      <c r="E74" s="44">
        <v>0</v>
      </c>
    </row>
    <row r="75" spans="3:5" x14ac:dyDescent="0.4">
      <c r="C75" s="1">
        <v>19</v>
      </c>
      <c r="D75">
        <f t="shared" si="1"/>
        <v>0</v>
      </c>
      <c r="E75" s="44">
        <v>0</v>
      </c>
    </row>
    <row r="76" spans="3:5" x14ac:dyDescent="0.4">
      <c r="C76" s="1">
        <v>20</v>
      </c>
      <c r="D76">
        <f t="shared" si="1"/>
        <v>0</v>
      </c>
      <c r="E76" s="44">
        <v>0</v>
      </c>
    </row>
    <row r="77" spans="3:5" x14ac:dyDescent="0.4">
      <c r="C77" s="1">
        <v>21</v>
      </c>
      <c r="D77">
        <f t="shared" si="1"/>
        <v>0</v>
      </c>
      <c r="E77" s="44">
        <v>0</v>
      </c>
    </row>
    <row r="78" spans="3:5" x14ac:dyDescent="0.4">
      <c r="C78" s="1">
        <v>22</v>
      </c>
      <c r="D78">
        <f t="shared" si="1"/>
        <v>0</v>
      </c>
      <c r="E78" s="44">
        <v>0</v>
      </c>
    </row>
    <row r="79" spans="3:5" x14ac:dyDescent="0.4">
      <c r="C79" s="1">
        <v>23</v>
      </c>
      <c r="D79">
        <f t="shared" si="1"/>
        <v>0</v>
      </c>
      <c r="E79" s="44">
        <v>0</v>
      </c>
    </row>
    <row r="80" spans="3:5" x14ac:dyDescent="0.4">
      <c r="C80" s="1">
        <v>24</v>
      </c>
      <c r="D80">
        <f t="shared" si="1"/>
        <v>0</v>
      </c>
      <c r="E80" s="44">
        <v>0</v>
      </c>
    </row>
    <row r="81" spans="3:5" x14ac:dyDescent="0.4">
      <c r="C81" s="1">
        <v>25</v>
      </c>
      <c r="D81">
        <f t="shared" si="1"/>
        <v>0.5</v>
      </c>
      <c r="E81" s="44">
        <v>0</v>
      </c>
    </row>
    <row r="82" spans="3:5" x14ac:dyDescent="0.4">
      <c r="C82" s="1">
        <v>26</v>
      </c>
      <c r="D82">
        <f t="shared" si="1"/>
        <v>0.1</v>
      </c>
      <c r="E82" s="44">
        <v>0</v>
      </c>
    </row>
    <row r="83" spans="3:5" x14ac:dyDescent="0.4">
      <c r="C83" s="1">
        <v>27</v>
      </c>
      <c r="D83">
        <f t="shared" si="1"/>
        <v>0.7</v>
      </c>
      <c r="E83" s="44">
        <v>0</v>
      </c>
    </row>
    <row r="84" spans="3:5" x14ac:dyDescent="0.4">
      <c r="C84" s="1">
        <v>28</v>
      </c>
      <c r="D84">
        <f t="shared" si="1"/>
        <v>1.5</v>
      </c>
      <c r="E84" s="44">
        <v>0</v>
      </c>
    </row>
    <row r="85" spans="3:5" x14ac:dyDescent="0.4">
      <c r="C85" s="1">
        <v>29</v>
      </c>
      <c r="D85">
        <f t="shared" si="1"/>
        <v>3.5</v>
      </c>
      <c r="E85" s="44">
        <v>1</v>
      </c>
    </row>
    <row r="86" spans="3:5" x14ac:dyDescent="0.4">
      <c r="C86" s="1">
        <v>30</v>
      </c>
      <c r="D86">
        <f t="shared" si="1"/>
        <v>4.8</v>
      </c>
      <c r="E86" s="44">
        <v>9</v>
      </c>
    </row>
    <row r="87" spans="3:5" x14ac:dyDescent="0.4">
      <c r="C87" s="1">
        <v>31</v>
      </c>
      <c r="D87">
        <f t="shared" si="1"/>
        <v>9.6</v>
      </c>
      <c r="E87" s="44">
        <v>12</v>
      </c>
    </row>
    <row r="88" spans="3:5" x14ac:dyDescent="0.4">
      <c r="C88" s="1">
        <v>32</v>
      </c>
      <c r="D88">
        <f t="shared" si="1"/>
        <v>11.9</v>
      </c>
      <c r="E88" s="44">
        <v>24</v>
      </c>
    </row>
    <row r="89" spans="3:5" x14ac:dyDescent="0.4">
      <c r="C89" s="1">
        <v>33</v>
      </c>
      <c r="D89">
        <f t="shared" si="1"/>
        <v>18</v>
      </c>
      <c r="E89" s="44">
        <v>31</v>
      </c>
    </row>
    <row r="90" spans="3:5" x14ac:dyDescent="0.4">
      <c r="C90" s="1">
        <v>34</v>
      </c>
      <c r="D90">
        <f t="shared" si="1"/>
        <v>19.600000000000001</v>
      </c>
      <c r="E90" s="44">
        <v>20</v>
      </c>
    </row>
    <row r="91" spans="3:5" x14ac:dyDescent="0.4">
      <c r="C91" s="1">
        <v>35</v>
      </c>
      <c r="D91">
        <f t="shared" si="1"/>
        <v>26.4</v>
      </c>
      <c r="E91" s="44">
        <v>19</v>
      </c>
    </row>
    <row r="92" spans="3:5" x14ac:dyDescent="0.4">
      <c r="C92" s="1">
        <v>36</v>
      </c>
      <c r="D92">
        <f t="shared" si="1"/>
        <v>21.2</v>
      </c>
      <c r="E92" s="44">
        <v>31</v>
      </c>
    </row>
    <row r="93" spans="3:5" x14ac:dyDescent="0.4">
      <c r="C93" s="1">
        <v>37</v>
      </c>
      <c r="D93">
        <f t="shared" si="1"/>
        <v>31.3</v>
      </c>
      <c r="E93" s="44">
        <v>34</v>
      </c>
    </row>
    <row r="94" spans="3:5" x14ac:dyDescent="0.4">
      <c r="C94" s="1">
        <v>38</v>
      </c>
      <c r="D94">
        <f t="shared" si="1"/>
        <v>28.3</v>
      </c>
      <c r="E94" s="44">
        <v>52</v>
      </c>
    </row>
    <row r="95" spans="3:5" x14ac:dyDescent="0.4">
      <c r="C95" s="1">
        <v>39</v>
      </c>
      <c r="D95">
        <f t="shared" si="1"/>
        <v>29.1</v>
      </c>
      <c r="E95" s="44">
        <v>67</v>
      </c>
    </row>
    <row r="96" spans="3:5" x14ac:dyDescent="0.4">
      <c r="C96" s="1">
        <v>40</v>
      </c>
      <c r="D96">
        <f t="shared" si="1"/>
        <v>25.7</v>
      </c>
      <c r="E96" s="44">
        <v>60</v>
      </c>
    </row>
    <row r="97" spans="3:5" x14ac:dyDescent="0.4">
      <c r="C97" s="1">
        <v>41</v>
      </c>
      <c r="D97">
        <f t="shared" si="1"/>
        <v>24</v>
      </c>
      <c r="E97" s="44">
        <v>45</v>
      </c>
    </row>
    <row r="98" spans="3:5" x14ac:dyDescent="0.4">
      <c r="C98" s="1">
        <v>42</v>
      </c>
      <c r="D98">
        <f t="shared" si="1"/>
        <v>18.5</v>
      </c>
      <c r="E98" s="44">
        <v>51</v>
      </c>
    </row>
    <row r="99" spans="3:5" x14ac:dyDescent="0.4">
      <c r="C99" s="1">
        <v>43</v>
      </c>
      <c r="D99">
        <f t="shared" si="1"/>
        <v>18.100000000000001</v>
      </c>
      <c r="E99" s="44">
        <v>52</v>
      </c>
    </row>
    <row r="100" spans="3:5" x14ac:dyDescent="0.4">
      <c r="C100" s="1">
        <v>44</v>
      </c>
      <c r="D100">
        <f t="shared" si="1"/>
        <v>14.9</v>
      </c>
      <c r="E100" s="44">
        <v>40</v>
      </c>
    </row>
    <row r="101" spans="3:5" x14ac:dyDescent="0.4">
      <c r="C101" s="1">
        <v>45</v>
      </c>
      <c r="D101">
        <f t="shared" si="1"/>
        <v>11</v>
      </c>
      <c r="E101" s="44">
        <v>39</v>
      </c>
    </row>
    <row r="102" spans="3:5" x14ac:dyDescent="0.4">
      <c r="C102" s="1">
        <v>46</v>
      </c>
      <c r="D102">
        <f t="shared" si="1"/>
        <v>6.8</v>
      </c>
      <c r="E102" s="44">
        <v>36</v>
      </c>
    </row>
    <row r="103" spans="3:5" x14ac:dyDescent="0.4">
      <c r="C103" s="1">
        <v>47</v>
      </c>
      <c r="D103">
        <f t="shared" si="1"/>
        <v>3.3</v>
      </c>
      <c r="E103" s="44">
        <v>14</v>
      </c>
    </row>
    <row r="104" spans="3:5" x14ac:dyDescent="0.4">
      <c r="C104" s="1">
        <v>48</v>
      </c>
      <c r="D104">
        <f t="shared" si="1"/>
        <v>3.2</v>
      </c>
      <c r="E104" s="44">
        <v>38</v>
      </c>
    </row>
    <row r="105" spans="3:5" x14ac:dyDescent="0.4">
      <c r="C105" s="1">
        <v>49</v>
      </c>
      <c r="D105">
        <f t="shared" si="1"/>
        <v>5.2</v>
      </c>
      <c r="E105" s="44">
        <v>27</v>
      </c>
    </row>
    <row r="106" spans="3:5" x14ac:dyDescent="0.4">
      <c r="C106" s="1">
        <v>50</v>
      </c>
      <c r="D106">
        <f t="shared" si="1"/>
        <v>2.2000000000000002</v>
      </c>
      <c r="E106" s="44">
        <v>28</v>
      </c>
    </row>
    <row r="107" spans="3:5" x14ac:dyDescent="0.4">
      <c r="C107" s="1">
        <v>51</v>
      </c>
      <c r="D107">
        <f t="shared" si="1"/>
        <v>2.9</v>
      </c>
      <c r="E107" s="44">
        <v>4</v>
      </c>
    </row>
    <row r="108" spans="3:5" x14ac:dyDescent="0.4">
      <c r="C108" s="1">
        <v>52</v>
      </c>
      <c r="D108">
        <f t="shared" si="1"/>
        <v>4.0999999999999996</v>
      </c>
      <c r="E108" s="44">
        <v>48</v>
      </c>
    </row>
    <row r="109" spans="3:5" x14ac:dyDescent="0.4">
      <c r="C109" s="1">
        <v>53</v>
      </c>
      <c r="D109">
        <f t="shared" si="1"/>
        <v>4.0999999999999996</v>
      </c>
      <c r="E109" s="44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E850-5819-46D5-88DF-BC2695E2BEFF}">
  <dimension ref="A1:P84"/>
  <sheetViews>
    <sheetView workbookViewId="0">
      <selection activeCell="X28" sqref="X28"/>
    </sheetView>
  </sheetViews>
  <sheetFormatPr defaultColWidth="10.6640625" defaultRowHeight="16" x14ac:dyDescent="0.4"/>
  <cols>
    <col min="10" max="10" width="22" customWidth="1"/>
  </cols>
  <sheetData>
    <row r="1" spans="1:10" x14ac:dyDescent="0.4">
      <c r="A1" s="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2013</v>
      </c>
      <c r="I1">
        <v>2016</v>
      </c>
      <c r="J1" t="s">
        <v>1</v>
      </c>
    </row>
    <row r="2" spans="1:10" x14ac:dyDescent="0.4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f>(SUM(B2:I2)/9)</f>
        <v>0</v>
      </c>
    </row>
    <row r="3" spans="1:10" x14ac:dyDescent="0.4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f>(SUM(B3:I3)/9)</f>
        <v>0</v>
      </c>
    </row>
    <row r="4" spans="1:10" x14ac:dyDescent="0.4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f>(SUM(B4:I4)/9)</f>
        <v>0</v>
      </c>
    </row>
    <row r="5" spans="1:10" x14ac:dyDescent="0.4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f>(SUM(B5:I5)/9)</f>
        <v>0</v>
      </c>
    </row>
    <row r="6" spans="1:10" x14ac:dyDescent="0.4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f>(SUM(B6:I6)/9)</f>
        <v>0</v>
      </c>
    </row>
    <row r="7" spans="1:10" x14ac:dyDescent="0.4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f>(SUM(B7:I7)/9)</f>
        <v>0</v>
      </c>
    </row>
    <row r="8" spans="1:10" x14ac:dyDescent="0.4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f>(SUM(B8:I8)/9)</f>
        <v>0</v>
      </c>
    </row>
    <row r="9" spans="1:10" x14ac:dyDescent="0.4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f>(SUM(B9:I9)/9)</f>
        <v>0</v>
      </c>
    </row>
    <row r="10" spans="1:10" x14ac:dyDescent="0.4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f>(SUM(B10:I10)/9)</f>
        <v>0.1111111111111111</v>
      </c>
    </row>
    <row r="11" spans="1:10" x14ac:dyDescent="0.4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f>(SUM(B11:I11)/9)</f>
        <v>0</v>
      </c>
    </row>
    <row r="12" spans="1:10" x14ac:dyDescent="0.4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f>(SUM(B12:I12)/9)</f>
        <v>0</v>
      </c>
    </row>
    <row r="13" spans="1:10" x14ac:dyDescent="0.4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f>(SUM(B13:I13)/9)</f>
        <v>0</v>
      </c>
    </row>
    <row r="14" spans="1:10" x14ac:dyDescent="0.4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f>(SUM(B14:I14)/9)</f>
        <v>0</v>
      </c>
    </row>
    <row r="15" spans="1:10" x14ac:dyDescent="0.4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f>(SUM(B15:I15)/9)</f>
        <v>0</v>
      </c>
    </row>
    <row r="16" spans="1:10" x14ac:dyDescent="0.4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f>(SUM(B16:I16)/9)</f>
        <v>0</v>
      </c>
    </row>
    <row r="17" spans="1:16" x14ac:dyDescent="0.4">
      <c r="A17" s="1">
        <v>16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f>(SUM(B17:I17)/9)</f>
        <v>0.1111111111111111</v>
      </c>
    </row>
    <row r="18" spans="1:16" x14ac:dyDescent="0.4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f>(SUM(B18:I18)/9)</f>
        <v>0</v>
      </c>
    </row>
    <row r="19" spans="1:16" x14ac:dyDescent="0.4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f>(SUM(B19:I19)/9)</f>
        <v>0</v>
      </c>
    </row>
    <row r="20" spans="1:16" x14ac:dyDescent="0.4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f>(SUM(B20:I20)/9)</f>
        <v>0</v>
      </c>
    </row>
    <row r="21" spans="1:16" x14ac:dyDescent="0.4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f>(SUM(B21:I21)/9)</f>
        <v>0</v>
      </c>
    </row>
    <row r="22" spans="1:16" x14ac:dyDescent="0.4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f>(SUM(B22:I22)/9)</f>
        <v>0</v>
      </c>
    </row>
    <row r="23" spans="1:16" x14ac:dyDescent="0.4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f>(SUM(B23:I23)/9)</f>
        <v>0</v>
      </c>
    </row>
    <row r="24" spans="1:16" x14ac:dyDescent="0.4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f>(SUM(B24:I24)/9)</f>
        <v>0</v>
      </c>
    </row>
    <row r="25" spans="1:16" x14ac:dyDescent="0.4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f>(SUM(B25:I25)/9)</f>
        <v>0</v>
      </c>
    </row>
    <row r="26" spans="1:16" x14ac:dyDescent="0.4">
      <c r="A26" s="1">
        <v>25</v>
      </c>
      <c r="B26">
        <v>1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f>(SUM(B26:I26)/9)</f>
        <v>0.33333333333333331</v>
      </c>
    </row>
    <row r="27" spans="1:16" x14ac:dyDescent="0.4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f>(SUM(B27:I27)/9)</f>
        <v>0</v>
      </c>
    </row>
    <row r="28" spans="1:16" x14ac:dyDescent="0.4">
      <c r="A28" s="1">
        <v>27</v>
      </c>
      <c r="B28">
        <v>0</v>
      </c>
      <c r="C28">
        <v>2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f>(SUM(B28:I28)/9)</f>
        <v>0.44444444444444442</v>
      </c>
    </row>
    <row r="29" spans="1:16" x14ac:dyDescent="0.4">
      <c r="A29" s="1">
        <v>28</v>
      </c>
      <c r="B29">
        <v>0</v>
      </c>
      <c r="C29">
        <v>6</v>
      </c>
      <c r="D29">
        <v>0</v>
      </c>
      <c r="E29">
        <v>0</v>
      </c>
      <c r="F29">
        <v>2</v>
      </c>
      <c r="G29">
        <v>0</v>
      </c>
      <c r="H29">
        <v>0</v>
      </c>
      <c r="I29">
        <v>0</v>
      </c>
      <c r="J29">
        <f>(SUM(B29:I29)/9)</f>
        <v>0.88888888888888884</v>
      </c>
    </row>
    <row r="30" spans="1:16" x14ac:dyDescent="0.4">
      <c r="A30" s="1">
        <v>29</v>
      </c>
      <c r="B30">
        <v>4</v>
      </c>
      <c r="C30">
        <v>18</v>
      </c>
      <c r="D30">
        <v>3</v>
      </c>
      <c r="E30">
        <v>1</v>
      </c>
      <c r="F30">
        <v>2</v>
      </c>
      <c r="G30">
        <v>1</v>
      </c>
      <c r="H30">
        <v>0</v>
      </c>
      <c r="I30">
        <v>0</v>
      </c>
      <c r="J30">
        <f>(SUM(B30:I30)/9)</f>
        <v>3.2222222222222223</v>
      </c>
    </row>
    <row r="31" spans="1:16" x14ac:dyDescent="0.4">
      <c r="A31" s="1">
        <v>30</v>
      </c>
      <c r="B31">
        <v>11</v>
      </c>
      <c r="C31">
        <v>15</v>
      </c>
      <c r="D31">
        <v>6</v>
      </c>
      <c r="E31">
        <v>1</v>
      </c>
      <c r="F31">
        <v>3</v>
      </c>
      <c r="G31">
        <v>0</v>
      </c>
      <c r="H31">
        <v>3</v>
      </c>
      <c r="I31">
        <v>3</v>
      </c>
      <c r="J31">
        <f>(SUM(B31:I31)/9)</f>
        <v>4.666666666666667</v>
      </c>
      <c r="L31" s="1" t="s">
        <v>0</v>
      </c>
      <c r="M31" t="s">
        <v>1</v>
      </c>
      <c r="N31" s="44" t="s">
        <v>72</v>
      </c>
      <c r="O31" s="44" t="s">
        <v>73</v>
      </c>
      <c r="P31" s="44" t="s">
        <v>74</v>
      </c>
    </row>
    <row r="32" spans="1:16" x14ac:dyDescent="0.4">
      <c r="A32" s="1">
        <v>31</v>
      </c>
      <c r="B32">
        <v>4</v>
      </c>
      <c r="C32">
        <v>22</v>
      </c>
      <c r="D32">
        <v>16</v>
      </c>
      <c r="E32">
        <v>3</v>
      </c>
      <c r="F32">
        <v>6</v>
      </c>
      <c r="G32">
        <v>6</v>
      </c>
      <c r="H32">
        <v>10</v>
      </c>
      <c r="I32">
        <v>7</v>
      </c>
      <c r="J32">
        <f>(SUM(B32:I32)/9)</f>
        <v>8.2222222222222214</v>
      </c>
      <c r="L32" s="1">
        <v>1</v>
      </c>
      <c r="M32">
        <f>(SUM(B2:I2)/8)</f>
        <v>0</v>
      </c>
      <c r="N32" s="44">
        <v>0</v>
      </c>
      <c r="O32" s="44">
        <v>0</v>
      </c>
      <c r="P32" s="44">
        <v>0</v>
      </c>
    </row>
    <row r="33" spans="1:16" x14ac:dyDescent="0.4">
      <c r="A33" s="1">
        <v>32</v>
      </c>
      <c r="B33">
        <v>18</v>
      </c>
      <c r="C33">
        <v>22</v>
      </c>
      <c r="D33">
        <v>26</v>
      </c>
      <c r="E33">
        <v>5</v>
      </c>
      <c r="F33">
        <v>4</v>
      </c>
      <c r="G33">
        <v>3</v>
      </c>
      <c r="H33">
        <v>4</v>
      </c>
      <c r="I33">
        <v>12</v>
      </c>
      <c r="J33">
        <f>(SUM(B33:I33)/9)</f>
        <v>10.444444444444445</v>
      </c>
      <c r="L33" s="1">
        <v>2</v>
      </c>
      <c r="M33">
        <f t="shared" ref="M33:M84" si="0">(SUM(B3:I3)/8)</f>
        <v>0</v>
      </c>
      <c r="N33" s="44">
        <v>0</v>
      </c>
      <c r="O33" s="44">
        <v>0</v>
      </c>
      <c r="P33" s="44">
        <v>0</v>
      </c>
    </row>
    <row r="34" spans="1:16" x14ac:dyDescent="0.4">
      <c r="A34" s="1">
        <v>33</v>
      </c>
      <c r="B34">
        <v>30</v>
      </c>
      <c r="C34">
        <v>34</v>
      </c>
      <c r="D34">
        <v>19</v>
      </c>
      <c r="E34">
        <v>0</v>
      </c>
      <c r="F34">
        <v>6</v>
      </c>
      <c r="G34">
        <v>2</v>
      </c>
      <c r="H34">
        <v>19</v>
      </c>
      <c r="I34">
        <v>24</v>
      </c>
      <c r="J34">
        <f>(SUM(B34:I34)/9)</f>
        <v>14.888888888888889</v>
      </c>
      <c r="L34" s="1">
        <v>3</v>
      </c>
      <c r="M34">
        <f t="shared" si="0"/>
        <v>0</v>
      </c>
      <c r="N34" s="44">
        <v>0</v>
      </c>
      <c r="O34" s="44">
        <v>0</v>
      </c>
      <c r="P34" s="44">
        <v>0</v>
      </c>
    </row>
    <row r="35" spans="1:16" x14ac:dyDescent="0.4">
      <c r="A35" s="1">
        <v>34</v>
      </c>
      <c r="B35">
        <v>28</v>
      </c>
      <c r="C35">
        <v>27</v>
      </c>
      <c r="D35">
        <v>19</v>
      </c>
      <c r="E35">
        <v>9</v>
      </c>
      <c r="F35">
        <v>5</v>
      </c>
      <c r="G35">
        <v>7</v>
      </c>
      <c r="H35">
        <v>22</v>
      </c>
      <c r="I35">
        <v>31</v>
      </c>
      <c r="J35">
        <f>(SUM(B35:I35)/9)</f>
        <v>16.444444444444443</v>
      </c>
      <c r="L35" s="1">
        <v>4</v>
      </c>
      <c r="M35">
        <f t="shared" si="0"/>
        <v>0</v>
      </c>
      <c r="N35" s="44">
        <v>0</v>
      </c>
      <c r="O35" s="44">
        <v>0</v>
      </c>
      <c r="P35" s="44">
        <v>0</v>
      </c>
    </row>
    <row r="36" spans="1:16" x14ac:dyDescent="0.4">
      <c r="A36" s="1">
        <v>35</v>
      </c>
      <c r="B36">
        <v>42</v>
      </c>
      <c r="C36">
        <v>25</v>
      </c>
      <c r="D36">
        <v>34</v>
      </c>
      <c r="E36">
        <v>7</v>
      </c>
      <c r="F36">
        <v>7</v>
      </c>
      <c r="G36">
        <v>8</v>
      </c>
      <c r="H36">
        <v>27</v>
      </c>
      <c r="I36">
        <v>46</v>
      </c>
      <c r="J36">
        <f>(SUM(B36:I36)/9)</f>
        <v>21.777777777777779</v>
      </c>
      <c r="L36" s="1">
        <v>5</v>
      </c>
      <c r="M36">
        <f t="shared" si="0"/>
        <v>0</v>
      </c>
      <c r="N36" s="44">
        <v>0</v>
      </c>
      <c r="O36" s="44">
        <v>0</v>
      </c>
      <c r="P36" s="44">
        <v>0</v>
      </c>
    </row>
    <row r="37" spans="1:16" x14ac:dyDescent="0.4">
      <c r="A37" s="1">
        <v>36</v>
      </c>
      <c r="B37">
        <v>20</v>
      </c>
      <c r="C37">
        <v>26</v>
      </c>
      <c r="D37">
        <v>30</v>
      </c>
      <c r="E37">
        <v>8</v>
      </c>
      <c r="F37">
        <v>3</v>
      </c>
      <c r="G37">
        <v>6</v>
      </c>
      <c r="H37">
        <v>15</v>
      </c>
      <c r="I37">
        <v>32</v>
      </c>
      <c r="J37">
        <f>(SUM(B37:I37)/9)</f>
        <v>15.555555555555555</v>
      </c>
      <c r="L37" s="1">
        <v>6</v>
      </c>
      <c r="M37">
        <f t="shared" si="0"/>
        <v>0</v>
      </c>
      <c r="N37" s="44">
        <v>0</v>
      </c>
      <c r="O37" s="44">
        <v>0</v>
      </c>
      <c r="P37" s="44">
        <v>0</v>
      </c>
    </row>
    <row r="38" spans="1:16" x14ac:dyDescent="0.4">
      <c r="A38" s="1">
        <v>37</v>
      </c>
      <c r="B38">
        <v>38</v>
      </c>
      <c r="C38">
        <v>33</v>
      </c>
      <c r="D38">
        <v>37</v>
      </c>
      <c r="E38">
        <v>13</v>
      </c>
      <c r="F38">
        <v>7</v>
      </c>
      <c r="G38">
        <v>15</v>
      </c>
      <c r="H38">
        <v>16</v>
      </c>
      <c r="I38">
        <v>44</v>
      </c>
      <c r="J38">
        <f>(SUM(B38:I38)/9)</f>
        <v>22.555555555555557</v>
      </c>
      <c r="L38" s="1">
        <v>7</v>
      </c>
      <c r="M38">
        <f t="shared" si="0"/>
        <v>0</v>
      </c>
      <c r="N38" s="44">
        <v>0</v>
      </c>
      <c r="O38" s="44">
        <v>0</v>
      </c>
      <c r="P38" s="44">
        <v>0</v>
      </c>
    </row>
    <row r="39" spans="1:16" x14ac:dyDescent="0.4">
      <c r="A39" s="1">
        <v>38</v>
      </c>
      <c r="B39">
        <v>18</v>
      </c>
      <c r="C39">
        <v>25</v>
      </c>
      <c r="D39">
        <v>38</v>
      </c>
      <c r="E39">
        <v>12</v>
      </c>
      <c r="F39">
        <v>7</v>
      </c>
      <c r="G39">
        <v>19</v>
      </c>
      <c r="H39">
        <v>33</v>
      </c>
      <c r="I39">
        <v>35</v>
      </c>
      <c r="J39">
        <f>(SUM(B39:I39)/9)</f>
        <v>20.777777777777779</v>
      </c>
      <c r="L39" s="1">
        <v>8</v>
      </c>
      <c r="M39">
        <f t="shared" si="0"/>
        <v>0</v>
      </c>
      <c r="N39" s="44">
        <v>0</v>
      </c>
      <c r="O39" s="44">
        <v>0</v>
      </c>
      <c r="P39" s="44">
        <v>0</v>
      </c>
    </row>
    <row r="40" spans="1:16" x14ac:dyDescent="0.4">
      <c r="A40" s="1">
        <v>39</v>
      </c>
      <c r="B40">
        <v>22</v>
      </c>
      <c r="C40">
        <v>34</v>
      </c>
      <c r="D40">
        <v>38</v>
      </c>
      <c r="E40">
        <v>9</v>
      </c>
      <c r="F40">
        <v>10</v>
      </c>
      <c r="G40">
        <v>20</v>
      </c>
      <c r="H40">
        <v>26</v>
      </c>
      <c r="I40">
        <v>42</v>
      </c>
      <c r="J40">
        <f>(SUM(B40:I40)/9)</f>
        <v>22.333333333333332</v>
      </c>
      <c r="L40" s="1">
        <v>9</v>
      </c>
      <c r="M40">
        <f t="shared" si="0"/>
        <v>0.125</v>
      </c>
      <c r="N40" s="44">
        <v>0</v>
      </c>
      <c r="O40" s="44">
        <v>0</v>
      </c>
      <c r="P40" s="44">
        <v>0</v>
      </c>
    </row>
    <row r="41" spans="1:16" x14ac:dyDescent="0.4">
      <c r="A41" s="1">
        <v>40</v>
      </c>
      <c r="B41">
        <v>5</v>
      </c>
      <c r="C41">
        <v>32</v>
      </c>
      <c r="D41">
        <v>23</v>
      </c>
      <c r="E41">
        <v>9</v>
      </c>
      <c r="F41">
        <v>5</v>
      </c>
      <c r="G41">
        <v>17</v>
      </c>
      <c r="H41">
        <v>29</v>
      </c>
      <c r="I41">
        <v>34</v>
      </c>
      <c r="J41">
        <f>(SUM(B41:I41)/9)</f>
        <v>17.111111111111111</v>
      </c>
      <c r="L41" s="1">
        <v>10</v>
      </c>
      <c r="M41">
        <f t="shared" si="0"/>
        <v>0</v>
      </c>
      <c r="N41" s="44">
        <v>0</v>
      </c>
      <c r="O41" s="44">
        <v>0</v>
      </c>
      <c r="P41" s="44">
        <v>0</v>
      </c>
    </row>
    <row r="42" spans="1:16" x14ac:dyDescent="0.4">
      <c r="A42" s="1">
        <v>41</v>
      </c>
      <c r="B42">
        <v>11</v>
      </c>
      <c r="C42">
        <v>21</v>
      </c>
      <c r="D42">
        <v>34</v>
      </c>
      <c r="E42">
        <v>6</v>
      </c>
      <c r="F42">
        <v>2</v>
      </c>
      <c r="G42">
        <v>9</v>
      </c>
      <c r="H42">
        <v>31</v>
      </c>
      <c r="I42">
        <v>17</v>
      </c>
      <c r="J42">
        <f>(SUM(B42:I42)/9)</f>
        <v>14.555555555555555</v>
      </c>
      <c r="L42" s="1">
        <v>11</v>
      </c>
      <c r="M42">
        <f t="shared" si="0"/>
        <v>0</v>
      </c>
      <c r="N42" s="44">
        <v>0</v>
      </c>
      <c r="O42" s="44">
        <v>0</v>
      </c>
      <c r="P42" s="44">
        <v>0</v>
      </c>
    </row>
    <row r="43" spans="1:16" x14ac:dyDescent="0.4">
      <c r="A43" s="1">
        <v>42</v>
      </c>
      <c r="B43">
        <v>4</v>
      </c>
      <c r="C43">
        <v>10</v>
      </c>
      <c r="D43">
        <v>2</v>
      </c>
      <c r="E43">
        <v>9</v>
      </c>
      <c r="F43">
        <v>14</v>
      </c>
      <c r="G43">
        <v>9</v>
      </c>
      <c r="H43">
        <v>36</v>
      </c>
      <c r="I43">
        <v>20</v>
      </c>
      <c r="J43">
        <f>(SUM(B43:I43)/9)</f>
        <v>11.555555555555555</v>
      </c>
      <c r="L43" s="1">
        <v>12</v>
      </c>
      <c r="M43">
        <f t="shared" si="0"/>
        <v>0</v>
      </c>
      <c r="N43" s="44">
        <v>0</v>
      </c>
      <c r="O43" s="44">
        <v>0</v>
      </c>
      <c r="P43" s="44">
        <v>0</v>
      </c>
    </row>
    <row r="44" spans="1:16" x14ac:dyDescent="0.4">
      <c r="A44" s="1">
        <v>43</v>
      </c>
      <c r="B44">
        <v>6</v>
      </c>
      <c r="C44">
        <v>7</v>
      </c>
      <c r="D44">
        <v>14</v>
      </c>
      <c r="E44">
        <v>5</v>
      </c>
      <c r="F44">
        <v>11</v>
      </c>
      <c r="G44">
        <v>7</v>
      </c>
      <c r="H44">
        <v>25</v>
      </c>
      <c r="I44">
        <v>23</v>
      </c>
      <c r="J44">
        <f>(SUM(B44:I44)/9)</f>
        <v>10.888888888888889</v>
      </c>
      <c r="L44" s="1">
        <v>13</v>
      </c>
      <c r="M44">
        <f t="shared" si="0"/>
        <v>0</v>
      </c>
      <c r="N44" s="44">
        <v>0</v>
      </c>
      <c r="O44" s="44">
        <v>0</v>
      </c>
      <c r="P44" s="44">
        <v>0</v>
      </c>
    </row>
    <row r="45" spans="1:16" x14ac:dyDescent="0.4">
      <c r="A45" s="1">
        <v>44</v>
      </c>
      <c r="B45">
        <v>3</v>
      </c>
      <c r="C45">
        <v>7</v>
      </c>
      <c r="D45">
        <v>10</v>
      </c>
      <c r="E45">
        <v>3</v>
      </c>
      <c r="F45">
        <v>3</v>
      </c>
      <c r="G45">
        <v>11</v>
      </c>
      <c r="H45">
        <v>22</v>
      </c>
      <c r="I45">
        <v>0</v>
      </c>
      <c r="J45">
        <f>(SUM(B45:I45)/9)</f>
        <v>6.5555555555555554</v>
      </c>
      <c r="L45" s="1">
        <v>14</v>
      </c>
      <c r="M45">
        <f t="shared" si="0"/>
        <v>0</v>
      </c>
      <c r="N45" s="44">
        <v>0</v>
      </c>
      <c r="O45" s="44">
        <v>0</v>
      </c>
      <c r="P45" s="44">
        <v>0</v>
      </c>
    </row>
    <row r="46" spans="1:16" x14ac:dyDescent="0.4">
      <c r="A46" s="1">
        <v>45</v>
      </c>
      <c r="B46">
        <v>3</v>
      </c>
      <c r="C46">
        <v>4</v>
      </c>
      <c r="D46">
        <v>25</v>
      </c>
      <c r="E46">
        <v>2</v>
      </c>
      <c r="F46">
        <v>1</v>
      </c>
      <c r="G46">
        <v>5</v>
      </c>
      <c r="H46">
        <v>20</v>
      </c>
      <c r="I46">
        <v>0</v>
      </c>
      <c r="J46">
        <f>(SUM(B46:I46)/9)</f>
        <v>6.666666666666667</v>
      </c>
      <c r="L46" s="1">
        <v>15</v>
      </c>
      <c r="M46">
        <f t="shared" si="0"/>
        <v>0</v>
      </c>
      <c r="N46" s="44">
        <v>0</v>
      </c>
      <c r="O46" s="44">
        <v>0</v>
      </c>
      <c r="P46" s="44">
        <v>0</v>
      </c>
    </row>
    <row r="47" spans="1:16" x14ac:dyDescent="0.4">
      <c r="A47" s="1">
        <v>46</v>
      </c>
      <c r="B47">
        <v>3</v>
      </c>
      <c r="C47">
        <v>3</v>
      </c>
      <c r="D47">
        <v>12</v>
      </c>
      <c r="E47">
        <v>1</v>
      </c>
      <c r="F47">
        <v>0</v>
      </c>
      <c r="G47">
        <v>5</v>
      </c>
      <c r="H47">
        <v>10</v>
      </c>
      <c r="I47">
        <v>0</v>
      </c>
      <c r="J47">
        <f>(SUM(B47:I47)/9)</f>
        <v>3.7777777777777777</v>
      </c>
      <c r="L47" s="1">
        <v>16</v>
      </c>
      <c r="M47">
        <f t="shared" si="0"/>
        <v>0.125</v>
      </c>
      <c r="N47" s="44">
        <v>0</v>
      </c>
      <c r="O47" s="44">
        <v>0</v>
      </c>
      <c r="P47" s="44">
        <v>0</v>
      </c>
    </row>
    <row r="48" spans="1:16" x14ac:dyDescent="0.4">
      <c r="A48" s="1">
        <v>47</v>
      </c>
      <c r="B48">
        <v>0</v>
      </c>
      <c r="C48">
        <v>0</v>
      </c>
      <c r="D48">
        <v>7</v>
      </c>
      <c r="E48">
        <v>0</v>
      </c>
      <c r="F48">
        <v>2</v>
      </c>
      <c r="G48">
        <v>1</v>
      </c>
      <c r="H48">
        <v>7</v>
      </c>
      <c r="I48">
        <v>0</v>
      </c>
      <c r="J48">
        <f>(SUM(B48:I48)/9)</f>
        <v>1.8888888888888888</v>
      </c>
      <c r="L48" s="1">
        <v>17</v>
      </c>
      <c r="M48">
        <f t="shared" si="0"/>
        <v>0</v>
      </c>
      <c r="N48" s="44">
        <v>0</v>
      </c>
      <c r="O48" s="44">
        <v>0</v>
      </c>
      <c r="P48" s="44">
        <v>0</v>
      </c>
    </row>
    <row r="49" spans="1:16" x14ac:dyDescent="0.4">
      <c r="A49" s="1">
        <v>48</v>
      </c>
      <c r="B49">
        <v>1</v>
      </c>
      <c r="C49">
        <v>2</v>
      </c>
      <c r="D49">
        <v>1</v>
      </c>
      <c r="E49">
        <v>1</v>
      </c>
      <c r="F49">
        <v>3</v>
      </c>
      <c r="G49">
        <v>3</v>
      </c>
      <c r="H49">
        <v>4</v>
      </c>
      <c r="I49">
        <v>0</v>
      </c>
      <c r="J49">
        <f>(SUM(B49:I49)/9)</f>
        <v>1.6666666666666667</v>
      </c>
      <c r="L49" s="1">
        <v>18</v>
      </c>
      <c r="M49">
        <f t="shared" si="0"/>
        <v>0</v>
      </c>
      <c r="N49" s="44">
        <v>0</v>
      </c>
      <c r="O49" s="44">
        <v>0</v>
      </c>
      <c r="P49" s="44">
        <v>0</v>
      </c>
    </row>
    <row r="50" spans="1:16" x14ac:dyDescent="0.4">
      <c r="A50" s="1">
        <v>49</v>
      </c>
      <c r="B50">
        <v>0</v>
      </c>
      <c r="C50">
        <v>2</v>
      </c>
      <c r="D50">
        <v>10</v>
      </c>
      <c r="E50">
        <v>1</v>
      </c>
      <c r="F50">
        <v>2</v>
      </c>
      <c r="G50">
        <v>0</v>
      </c>
      <c r="H50">
        <v>3</v>
      </c>
      <c r="I50">
        <v>0</v>
      </c>
      <c r="J50">
        <f>(SUM(B50:I50)/9)</f>
        <v>2</v>
      </c>
      <c r="L50" s="1">
        <v>19</v>
      </c>
      <c r="M50">
        <f t="shared" si="0"/>
        <v>0</v>
      </c>
      <c r="N50" s="44">
        <v>0</v>
      </c>
      <c r="O50" s="44">
        <v>0</v>
      </c>
      <c r="P50" s="44">
        <v>0</v>
      </c>
    </row>
    <row r="51" spans="1:16" x14ac:dyDescent="0.4">
      <c r="A51" s="1">
        <v>50</v>
      </c>
      <c r="B51">
        <v>0</v>
      </c>
      <c r="C51">
        <v>1</v>
      </c>
      <c r="D51">
        <v>4</v>
      </c>
      <c r="E51">
        <v>1</v>
      </c>
      <c r="F51">
        <v>0</v>
      </c>
      <c r="G51">
        <v>1</v>
      </c>
      <c r="H51">
        <v>3</v>
      </c>
      <c r="I51">
        <v>0</v>
      </c>
      <c r="J51">
        <f>(SUM(B51:I51)/9)</f>
        <v>1.1111111111111112</v>
      </c>
      <c r="L51" s="1">
        <v>20</v>
      </c>
      <c r="M51">
        <f t="shared" si="0"/>
        <v>0</v>
      </c>
      <c r="N51" s="44">
        <v>0</v>
      </c>
      <c r="O51" s="44">
        <v>0</v>
      </c>
      <c r="P51" s="44">
        <v>0</v>
      </c>
    </row>
    <row r="52" spans="1:16" x14ac:dyDescent="0.4">
      <c r="A52" s="1">
        <v>51</v>
      </c>
      <c r="B52">
        <v>0</v>
      </c>
      <c r="C52">
        <v>0</v>
      </c>
      <c r="D52">
        <v>5</v>
      </c>
      <c r="E52">
        <v>1</v>
      </c>
      <c r="F52">
        <v>0</v>
      </c>
      <c r="G52">
        <v>0</v>
      </c>
      <c r="H52">
        <v>9</v>
      </c>
      <c r="I52">
        <v>0</v>
      </c>
      <c r="J52">
        <f>(SUM(B52:I52)/9)</f>
        <v>1.6666666666666667</v>
      </c>
      <c r="L52" s="1">
        <v>21</v>
      </c>
      <c r="M52">
        <f t="shared" si="0"/>
        <v>0</v>
      </c>
      <c r="N52" s="44">
        <v>0</v>
      </c>
      <c r="O52" s="44">
        <v>0</v>
      </c>
      <c r="P52" s="44">
        <v>0</v>
      </c>
    </row>
    <row r="53" spans="1:16" x14ac:dyDescent="0.4">
      <c r="A53" s="1">
        <v>52</v>
      </c>
      <c r="B53">
        <v>0</v>
      </c>
      <c r="C53">
        <v>0</v>
      </c>
      <c r="D53">
        <v>0</v>
      </c>
      <c r="E53">
        <v>5</v>
      </c>
      <c r="F53">
        <v>1</v>
      </c>
      <c r="G53">
        <v>3</v>
      </c>
      <c r="H53">
        <v>0</v>
      </c>
      <c r="I53">
        <v>0</v>
      </c>
      <c r="J53">
        <f>(SUM(B53:I53)/9)</f>
        <v>1</v>
      </c>
      <c r="L53" s="1">
        <v>22</v>
      </c>
      <c r="M53">
        <f t="shared" si="0"/>
        <v>0</v>
      </c>
      <c r="N53" s="44">
        <v>0</v>
      </c>
      <c r="O53" s="44">
        <v>0</v>
      </c>
      <c r="P53" s="44">
        <v>0</v>
      </c>
    </row>
    <row r="54" spans="1:16" x14ac:dyDescent="0.4">
      <c r="A54" s="1">
        <v>53</v>
      </c>
      <c r="B54">
        <v>0</v>
      </c>
      <c r="C54">
        <v>0</v>
      </c>
      <c r="D54">
        <v>29</v>
      </c>
      <c r="E54">
        <v>0</v>
      </c>
      <c r="F54">
        <v>5</v>
      </c>
      <c r="G54">
        <v>0</v>
      </c>
      <c r="H54">
        <v>4</v>
      </c>
      <c r="I54">
        <v>0</v>
      </c>
      <c r="J54">
        <f>(SUM(B54:I54)/9)</f>
        <v>4.2222222222222223</v>
      </c>
      <c r="L54" s="1">
        <v>23</v>
      </c>
      <c r="M54">
        <f t="shared" si="0"/>
        <v>0</v>
      </c>
      <c r="N54" s="44">
        <v>0</v>
      </c>
      <c r="O54" s="44">
        <v>0</v>
      </c>
      <c r="P54" s="44">
        <v>0</v>
      </c>
    </row>
    <row r="55" spans="1:16" x14ac:dyDescent="0.4">
      <c r="L55" s="1">
        <v>24</v>
      </c>
      <c r="M55">
        <f t="shared" si="0"/>
        <v>0</v>
      </c>
      <c r="N55" s="44">
        <v>0</v>
      </c>
      <c r="O55" s="44">
        <v>0</v>
      </c>
      <c r="P55" s="44">
        <v>0</v>
      </c>
    </row>
    <row r="56" spans="1:16" x14ac:dyDescent="0.4">
      <c r="L56" s="1">
        <v>25</v>
      </c>
      <c r="M56">
        <f t="shared" si="0"/>
        <v>0.375</v>
      </c>
      <c r="N56" s="44">
        <v>1</v>
      </c>
      <c r="O56" s="44">
        <v>1</v>
      </c>
      <c r="P56" s="44">
        <v>0</v>
      </c>
    </row>
    <row r="57" spans="1:16" x14ac:dyDescent="0.4">
      <c r="L57" s="1">
        <v>26</v>
      </c>
      <c r="M57">
        <f t="shared" si="0"/>
        <v>0</v>
      </c>
      <c r="N57" s="44">
        <v>0</v>
      </c>
      <c r="O57" s="44">
        <v>1</v>
      </c>
      <c r="P57" s="44">
        <v>0</v>
      </c>
    </row>
    <row r="58" spans="1:16" x14ac:dyDescent="0.4">
      <c r="L58" s="1">
        <v>27</v>
      </c>
      <c r="M58">
        <f t="shared" si="0"/>
        <v>0.5</v>
      </c>
      <c r="N58" s="44">
        <v>0</v>
      </c>
      <c r="O58" s="44">
        <v>3</v>
      </c>
      <c r="P58" s="44">
        <v>0</v>
      </c>
    </row>
    <row r="59" spans="1:16" x14ac:dyDescent="0.4">
      <c r="L59" s="1">
        <v>28</v>
      </c>
      <c r="M59">
        <f t="shared" si="0"/>
        <v>1</v>
      </c>
      <c r="N59" s="44">
        <v>2</v>
      </c>
      <c r="O59" s="44">
        <v>5</v>
      </c>
      <c r="P59" s="44">
        <v>0</v>
      </c>
    </row>
    <row r="60" spans="1:16" x14ac:dyDescent="0.4">
      <c r="L60" s="1">
        <v>29</v>
      </c>
      <c r="M60">
        <f t="shared" si="0"/>
        <v>3.625</v>
      </c>
      <c r="N60" s="44">
        <v>3</v>
      </c>
      <c r="O60" s="44">
        <v>3</v>
      </c>
      <c r="P60" s="44">
        <v>1</v>
      </c>
    </row>
    <row r="61" spans="1:16" x14ac:dyDescent="0.4">
      <c r="L61" s="1">
        <v>30</v>
      </c>
      <c r="M61">
        <f t="shared" si="0"/>
        <v>5.25</v>
      </c>
      <c r="N61" s="44">
        <v>1</v>
      </c>
      <c r="O61" s="44">
        <v>5</v>
      </c>
      <c r="P61" s="44">
        <v>9</v>
      </c>
    </row>
    <row r="62" spans="1:16" x14ac:dyDescent="0.4">
      <c r="L62" s="1">
        <v>31</v>
      </c>
      <c r="M62">
        <f t="shared" si="0"/>
        <v>9.25</v>
      </c>
      <c r="N62" s="44">
        <v>4</v>
      </c>
      <c r="O62" s="44">
        <v>18</v>
      </c>
      <c r="P62" s="44">
        <v>12</v>
      </c>
    </row>
    <row r="63" spans="1:16" x14ac:dyDescent="0.4">
      <c r="L63" s="1">
        <v>32</v>
      </c>
      <c r="M63">
        <f t="shared" si="0"/>
        <v>11.75</v>
      </c>
      <c r="N63" s="44">
        <v>7</v>
      </c>
      <c r="O63" s="44">
        <v>18</v>
      </c>
      <c r="P63" s="44">
        <v>24</v>
      </c>
    </row>
    <row r="64" spans="1:16" x14ac:dyDescent="0.4">
      <c r="L64" s="1">
        <v>33</v>
      </c>
      <c r="M64">
        <f t="shared" si="0"/>
        <v>16.75</v>
      </c>
      <c r="N64" s="44">
        <v>8</v>
      </c>
      <c r="O64" s="44">
        <v>38</v>
      </c>
      <c r="P64" s="44">
        <v>31</v>
      </c>
    </row>
    <row r="65" spans="2:16" x14ac:dyDescent="0.4">
      <c r="L65" s="1">
        <v>34</v>
      </c>
      <c r="M65">
        <f t="shared" si="0"/>
        <v>18.5</v>
      </c>
      <c r="N65" s="44">
        <v>15</v>
      </c>
      <c r="O65" s="44">
        <v>33</v>
      </c>
      <c r="P65" s="44">
        <v>20</v>
      </c>
    </row>
    <row r="66" spans="2:16" x14ac:dyDescent="0.4">
      <c r="L66" s="1">
        <v>35</v>
      </c>
      <c r="M66">
        <f t="shared" si="0"/>
        <v>24.5</v>
      </c>
      <c r="N66" s="44">
        <v>15</v>
      </c>
      <c r="O66" s="44">
        <v>53</v>
      </c>
      <c r="P66" s="44">
        <v>19</v>
      </c>
    </row>
    <row r="67" spans="2:16" x14ac:dyDescent="0.4">
      <c r="L67" s="1">
        <v>36</v>
      </c>
      <c r="M67">
        <f t="shared" si="0"/>
        <v>17.5</v>
      </c>
      <c r="N67" s="44">
        <v>19</v>
      </c>
      <c r="O67" s="44">
        <v>53</v>
      </c>
      <c r="P67" s="44">
        <v>31</v>
      </c>
    </row>
    <row r="68" spans="2:16" x14ac:dyDescent="0.4">
      <c r="L68" s="1">
        <v>37</v>
      </c>
      <c r="M68">
        <f t="shared" si="0"/>
        <v>25.375</v>
      </c>
      <c r="N68" s="44">
        <v>39</v>
      </c>
      <c r="O68" s="44">
        <v>71</v>
      </c>
      <c r="P68" s="44">
        <v>34</v>
      </c>
    </row>
    <row r="69" spans="2:16" x14ac:dyDescent="0.4">
      <c r="L69" s="1">
        <v>38</v>
      </c>
      <c r="M69">
        <f t="shared" si="0"/>
        <v>23.375</v>
      </c>
      <c r="N69" s="44">
        <v>32</v>
      </c>
      <c r="O69" s="44">
        <v>64</v>
      </c>
      <c r="P69" s="44">
        <v>52</v>
      </c>
    </row>
    <row r="70" spans="2:16" ht="32.5" customHeight="1" x14ac:dyDescent="0.4">
      <c r="B70" s="45"/>
      <c r="C70" s="45"/>
      <c r="D70" s="45"/>
      <c r="L70" s="1">
        <v>39</v>
      </c>
      <c r="M70">
        <f t="shared" si="0"/>
        <v>25.125</v>
      </c>
      <c r="N70" s="44">
        <v>34</v>
      </c>
      <c r="O70" s="44">
        <v>56</v>
      </c>
      <c r="P70" s="44">
        <v>67</v>
      </c>
    </row>
    <row r="71" spans="2:16" x14ac:dyDescent="0.4">
      <c r="L71" s="1">
        <v>40</v>
      </c>
      <c r="M71">
        <f t="shared" si="0"/>
        <v>19.25</v>
      </c>
      <c r="N71" s="44">
        <v>48</v>
      </c>
      <c r="O71" s="44">
        <v>55</v>
      </c>
      <c r="P71" s="44">
        <v>60</v>
      </c>
    </row>
    <row r="72" spans="2:16" x14ac:dyDescent="0.4">
      <c r="L72" s="1">
        <v>41</v>
      </c>
      <c r="M72">
        <f t="shared" si="0"/>
        <v>16.375</v>
      </c>
      <c r="N72" s="44">
        <v>35</v>
      </c>
      <c r="O72" s="44">
        <v>74</v>
      </c>
      <c r="P72" s="44">
        <v>45</v>
      </c>
    </row>
    <row r="73" spans="2:16" x14ac:dyDescent="0.4">
      <c r="L73" s="1">
        <v>42</v>
      </c>
      <c r="M73">
        <f t="shared" si="0"/>
        <v>13</v>
      </c>
      <c r="N73" s="44">
        <v>35</v>
      </c>
      <c r="O73" s="44">
        <v>46</v>
      </c>
      <c r="P73" s="44">
        <v>51</v>
      </c>
    </row>
    <row r="74" spans="2:16" x14ac:dyDescent="0.4">
      <c r="L74" s="1">
        <v>43</v>
      </c>
      <c r="M74">
        <f t="shared" si="0"/>
        <v>12.25</v>
      </c>
      <c r="N74" s="44">
        <v>38</v>
      </c>
      <c r="O74" s="44">
        <v>45</v>
      </c>
      <c r="P74" s="44">
        <v>52</v>
      </c>
    </row>
    <row r="75" spans="2:16" x14ac:dyDescent="0.4">
      <c r="L75" s="1">
        <v>44</v>
      </c>
      <c r="M75">
        <f t="shared" si="0"/>
        <v>7.375</v>
      </c>
      <c r="N75" s="44">
        <v>38</v>
      </c>
      <c r="O75" s="44">
        <v>52</v>
      </c>
      <c r="P75" s="44">
        <v>40</v>
      </c>
    </row>
    <row r="76" spans="2:16" x14ac:dyDescent="0.4">
      <c r="L76" s="1">
        <v>45</v>
      </c>
      <c r="M76">
        <f t="shared" si="0"/>
        <v>7.5</v>
      </c>
      <c r="N76" s="44">
        <v>22</v>
      </c>
      <c r="O76" s="44">
        <v>28</v>
      </c>
      <c r="P76" s="44">
        <v>39</v>
      </c>
    </row>
    <row r="77" spans="2:16" x14ac:dyDescent="0.4">
      <c r="L77" s="1">
        <v>46</v>
      </c>
      <c r="M77">
        <f t="shared" si="0"/>
        <v>4.25</v>
      </c>
      <c r="N77" s="44">
        <v>18</v>
      </c>
      <c r="O77" s="44">
        <v>16</v>
      </c>
      <c r="P77" s="44">
        <v>36</v>
      </c>
    </row>
    <row r="78" spans="2:16" x14ac:dyDescent="0.4">
      <c r="L78" s="1">
        <v>47</v>
      </c>
      <c r="M78">
        <f t="shared" si="0"/>
        <v>2.125</v>
      </c>
      <c r="N78" s="44">
        <v>7</v>
      </c>
      <c r="O78" s="44">
        <v>9</v>
      </c>
      <c r="P78" s="44">
        <v>14</v>
      </c>
    </row>
    <row r="79" spans="2:16" x14ac:dyDescent="0.4">
      <c r="L79" s="1">
        <v>48</v>
      </c>
      <c r="M79">
        <f t="shared" si="0"/>
        <v>1.875</v>
      </c>
      <c r="N79" s="44">
        <v>10</v>
      </c>
      <c r="O79" s="44">
        <v>7</v>
      </c>
      <c r="P79" s="44">
        <v>38</v>
      </c>
    </row>
    <row r="80" spans="2:16" x14ac:dyDescent="0.4">
      <c r="L80" s="1">
        <v>49</v>
      </c>
      <c r="M80">
        <f t="shared" si="0"/>
        <v>2.25</v>
      </c>
      <c r="N80" s="44">
        <v>12</v>
      </c>
      <c r="O80" s="44">
        <v>22</v>
      </c>
      <c r="P80" s="44">
        <v>27</v>
      </c>
    </row>
    <row r="81" spans="12:16" x14ac:dyDescent="0.4">
      <c r="L81" s="1">
        <v>50</v>
      </c>
      <c r="M81">
        <f t="shared" si="0"/>
        <v>1.25</v>
      </c>
      <c r="N81" s="44">
        <v>8</v>
      </c>
      <c r="O81" s="44">
        <v>4</v>
      </c>
      <c r="P81" s="44">
        <v>28</v>
      </c>
    </row>
    <row r="82" spans="12:16" x14ac:dyDescent="0.4">
      <c r="L82" s="1">
        <v>51</v>
      </c>
      <c r="M82">
        <f t="shared" si="0"/>
        <v>1.875</v>
      </c>
      <c r="N82" s="44">
        <v>12</v>
      </c>
      <c r="O82" s="44">
        <v>2</v>
      </c>
      <c r="P82" s="44">
        <v>4</v>
      </c>
    </row>
    <row r="83" spans="12:16" x14ac:dyDescent="0.4">
      <c r="L83" s="1">
        <v>52</v>
      </c>
      <c r="M83">
        <f t="shared" si="0"/>
        <v>1.125</v>
      </c>
      <c r="N83" s="44">
        <v>13</v>
      </c>
      <c r="O83" s="44">
        <v>19</v>
      </c>
      <c r="P83" s="44">
        <v>48</v>
      </c>
    </row>
    <row r="84" spans="12:16" x14ac:dyDescent="0.4">
      <c r="L84" s="1">
        <v>53</v>
      </c>
      <c r="M84">
        <f t="shared" si="0"/>
        <v>4.75</v>
      </c>
      <c r="N84" s="44">
        <v>3</v>
      </c>
      <c r="O84" s="44">
        <v>0</v>
      </c>
      <c r="P84" s="44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Desc Stats</vt:lpstr>
      <vt:lpstr>ANOVA All</vt:lpstr>
      <vt:lpstr>MeanByWeek</vt:lpstr>
      <vt:lpstr>2012</vt:lpstr>
      <vt:lpstr>2014</vt:lpstr>
      <vt:lpstr>2015</vt:lpstr>
      <vt:lpstr>Without Years of Concern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Gutierrez</cp:lastModifiedBy>
  <dcterms:created xsi:type="dcterms:W3CDTF">2024-11-19T21:41:07Z</dcterms:created>
  <dcterms:modified xsi:type="dcterms:W3CDTF">2024-11-20T14:35:17Z</dcterms:modified>
</cp:coreProperties>
</file>