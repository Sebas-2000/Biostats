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Desktop\Homework\Biostats\"/>
    </mc:Choice>
  </mc:AlternateContent>
  <xr:revisionPtr revIDLastSave="0" documentId="8_{9D1C3F14-C477-448D-BB4B-1F2216161DAA}" xr6:coauthVersionLast="47" xr6:coauthVersionMax="47" xr10:uidLastSave="{00000000-0000-0000-0000-000000000000}"/>
  <bookViews>
    <workbookView xWindow="19200" yWindow="0" windowWidth="19200" windowHeight="21000" xr2:uid="{65DFEC12-4D08-4CD8-9112-6D540E578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C26" i="1"/>
  <c r="C25" i="1"/>
  <c r="B25" i="1"/>
  <c r="C22" i="1"/>
  <c r="B22" i="1"/>
  <c r="D20" i="1"/>
  <c r="D19" i="1"/>
  <c r="D18" i="1"/>
  <c r="C20" i="1"/>
  <c r="C19" i="1"/>
  <c r="C18" i="1"/>
  <c r="C14" i="1"/>
  <c r="C13" i="1"/>
  <c r="C12" i="1"/>
  <c r="C11" i="1"/>
</calcChain>
</file>

<file path=xl/sharedStrings.xml><?xml version="1.0" encoding="utf-8"?>
<sst xmlns="http://schemas.openxmlformats.org/spreadsheetml/2006/main" count="12" uniqueCount="12">
  <si>
    <t>RACE</t>
  </si>
  <si>
    <t>Caucasian</t>
  </si>
  <si>
    <t>asian american</t>
  </si>
  <si>
    <t>african american</t>
  </si>
  <si>
    <t>total</t>
  </si>
  <si>
    <t>Internet</t>
  </si>
  <si>
    <t>No Internet</t>
  </si>
  <si>
    <t>Total</t>
  </si>
  <si>
    <t>appetizers</t>
  </si>
  <si>
    <t>entrée</t>
  </si>
  <si>
    <t>desserts</t>
  </si>
  <si>
    <t>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</si>
</sst>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AC82-3C7D-4C8E-A32A-9F0C35DCE1A4}">
  <dimension ref="A1:D26"/>
  <sheetViews>
    <sheetView tabSelected="1" workbookViewId="0">
      <selection activeCell="C26" sqref="C26"/>
    </sheetView>
  </sheetViews>
  <sheetFormatPr defaultRowHeight="14.5" x14ac:dyDescent="0.35"/>
  <cols>
    <col min="1" max="1" width="14.26953125" customWidth="1"/>
    <col min="3" max="3" width="11" customWidth="1"/>
    <col min="4" max="4" width="11.81640625" bestFit="1" customWidth="1"/>
  </cols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 t="s">
        <v>1</v>
      </c>
      <c r="B2">
        <v>15</v>
      </c>
      <c r="C2">
        <v>22</v>
      </c>
      <c r="D2">
        <v>37</v>
      </c>
    </row>
    <row r="3" spans="1:4" x14ac:dyDescent="0.35">
      <c r="A3" t="s">
        <v>2</v>
      </c>
      <c r="B3">
        <v>23</v>
      </c>
      <c r="C3">
        <v>18</v>
      </c>
      <c r="D3">
        <v>41</v>
      </c>
    </row>
    <row r="4" spans="1:4" x14ac:dyDescent="0.35">
      <c r="A4" t="s">
        <v>3</v>
      </c>
      <c r="B4">
        <v>14</v>
      </c>
      <c r="C4">
        <v>33</v>
      </c>
      <c r="D4">
        <v>47</v>
      </c>
    </row>
    <row r="5" spans="1:4" x14ac:dyDescent="0.35">
      <c r="A5" t="s">
        <v>4</v>
      </c>
      <c r="B5">
        <v>52</v>
      </c>
      <c r="C5">
        <v>73</v>
      </c>
      <c r="D5">
        <v>125</v>
      </c>
    </row>
    <row r="11" spans="1:4" x14ac:dyDescent="0.35">
      <c r="C11">
        <f>52/125</f>
        <v>0.41599999999999998</v>
      </c>
    </row>
    <row r="12" spans="1:4" x14ac:dyDescent="0.35">
      <c r="C12">
        <f>41/125</f>
        <v>0.32800000000000001</v>
      </c>
    </row>
    <row r="13" spans="1:4" x14ac:dyDescent="0.35">
      <c r="C13">
        <f>C11*C12</f>
        <v>0.13644799999999999</v>
      </c>
    </row>
    <row r="14" spans="1:4" x14ac:dyDescent="0.35">
      <c r="C14">
        <f>C11+C12-C13</f>
        <v>0.60755199999999998</v>
      </c>
    </row>
    <row r="18" spans="1:4" x14ac:dyDescent="0.35">
      <c r="A18" t="s">
        <v>8</v>
      </c>
      <c r="B18">
        <v>3</v>
      </c>
      <c r="C18">
        <f>B18*B19</f>
        <v>24</v>
      </c>
      <c r="D18">
        <f>(B18+1)*(B19+1)</f>
        <v>36</v>
      </c>
    </row>
    <row r="19" spans="1:4" x14ac:dyDescent="0.35">
      <c r="A19" t="s">
        <v>9</v>
      </c>
      <c r="B19">
        <v>8</v>
      </c>
      <c r="C19">
        <f>C18*B20</f>
        <v>96</v>
      </c>
      <c r="D19">
        <f>D18*(B20+1)</f>
        <v>180</v>
      </c>
    </row>
    <row r="20" spans="1:4" x14ac:dyDescent="0.35">
      <c r="A20" t="s">
        <v>10</v>
      </c>
      <c r="B20">
        <v>4</v>
      </c>
      <c r="C20">
        <f>C19*B21</f>
        <v>288</v>
      </c>
      <c r="D20">
        <f>D19*(B21+1)</f>
        <v>720</v>
      </c>
    </row>
    <row r="21" spans="1:4" x14ac:dyDescent="0.35">
      <c r="A21" t="s">
        <v>11</v>
      </c>
      <c r="B21">
        <v>3</v>
      </c>
    </row>
    <row r="22" spans="1:4" x14ac:dyDescent="0.35">
      <c r="B22">
        <f>SUM(B18:B21)</f>
        <v>18</v>
      </c>
      <c r="C22">
        <f>COMBIN(B22,4)</f>
        <v>3060</v>
      </c>
    </row>
    <row r="25" spans="1:4" x14ac:dyDescent="0.35">
      <c r="B25">
        <f>1/4</f>
        <v>0.25</v>
      </c>
      <c r="C25">
        <f>B25^10</f>
        <v>9.5367431640625E-7</v>
      </c>
    </row>
    <row r="26" spans="1:4" x14ac:dyDescent="0.35">
      <c r="C26">
        <f>4^10</f>
        <v>1048576</v>
      </c>
      <c r="D26">
        <f>1/C26</f>
        <v>9.5367431640625E-7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Gutierrez</dc:creator>
  <cp:lastModifiedBy>Sebastian Gutierrez</cp:lastModifiedBy>
  <dcterms:created xsi:type="dcterms:W3CDTF">2024-10-02T14:15:32Z</dcterms:created>
  <dcterms:modified xsi:type="dcterms:W3CDTF">2024-10-02T14:37:37Z</dcterms:modified>
</cp:coreProperties>
</file>